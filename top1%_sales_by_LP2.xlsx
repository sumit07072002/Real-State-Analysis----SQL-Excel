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09ef50e0e09ae9/Desktop/Real State and Market Analysis/"/>
    </mc:Choice>
  </mc:AlternateContent>
  <xr:revisionPtr revIDLastSave="182" documentId="13_ncr:40009_{BE8A8510-F058-4F4D-AC81-3FE474AAF569}" xr6:coauthVersionLast="47" xr6:coauthVersionMax="47" xr10:uidLastSave="{11A45F36-BF8E-4D78-9DA3-ED18DA834FD1}"/>
  <bookViews>
    <workbookView xWindow="-108" yWindow="-108" windowWidth="23256" windowHeight="12456" activeTab="2" xr2:uid="{00000000-000D-0000-FFFF-FFFF00000000}"/>
  </bookViews>
  <sheets>
    <sheet name="Table1" sheetId="1" r:id="rId1"/>
    <sheet name="Sheet1" sheetId="3" r:id="rId2"/>
    <sheet name="Sheet2" sheetId="2" r:id="rId3"/>
  </sheets>
  <definedNames>
    <definedName name="_xlnm._FilterDatabase" localSheetId="2" hidden="1">Sheet2!$A$1:$M$201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" i="2" l="1"/>
  <c r="P5" i="2"/>
  <c r="P4" i="2"/>
  <c r="P3" i="2"/>
  <c r="P2" i="2"/>
  <c r="M17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" i="2"/>
</calcChain>
</file>

<file path=xl/sharedStrings.xml><?xml version="1.0" encoding="utf-8"?>
<sst xmlns="http://schemas.openxmlformats.org/spreadsheetml/2006/main" count="1670" uniqueCount="54">
  <si>
    <t>Property_ID</t>
  </si>
  <si>
    <t>Type</t>
  </si>
  <si>
    <t>City</t>
  </si>
  <si>
    <t>Size_SqFt</t>
  </si>
  <si>
    <t>Bedrooms</t>
  </si>
  <si>
    <t>Bathrooms</t>
  </si>
  <si>
    <t>Year_Built</t>
  </si>
  <si>
    <t>Listing_Price</t>
  </si>
  <si>
    <t>Rental_Price</t>
  </si>
  <si>
    <t>Neighborhood</t>
  </si>
  <si>
    <t>Status</t>
  </si>
  <si>
    <t>per_rnk</t>
  </si>
  <si>
    <t>Apartment</t>
  </si>
  <si>
    <t>Miami</t>
  </si>
  <si>
    <t>Little Havana</t>
  </si>
  <si>
    <t>Rented</t>
  </si>
  <si>
    <t>Townhouse</t>
  </si>
  <si>
    <t>Chicago</t>
  </si>
  <si>
    <t>The Loop</t>
  </si>
  <si>
    <t>Others</t>
  </si>
  <si>
    <t>Los Angeles</t>
  </si>
  <si>
    <t>Beverly Hills</t>
  </si>
  <si>
    <t>Condo</t>
  </si>
  <si>
    <t>San Francisco</t>
  </si>
  <si>
    <t>SoMa</t>
  </si>
  <si>
    <t>Downtown</t>
  </si>
  <si>
    <t>Available</t>
  </si>
  <si>
    <t>Seattle</t>
  </si>
  <si>
    <t>Queen Anne</t>
  </si>
  <si>
    <t>Capitol Hill</t>
  </si>
  <si>
    <t>Sold</t>
  </si>
  <si>
    <t>House</t>
  </si>
  <si>
    <t>South Beach</t>
  </si>
  <si>
    <t>New York</t>
  </si>
  <si>
    <t>Brooklyn</t>
  </si>
  <si>
    <t>Lincoln Park</t>
  </si>
  <si>
    <t>Mission District</t>
  </si>
  <si>
    <t>Bronx</t>
  </si>
  <si>
    <t>Santa Monica</t>
  </si>
  <si>
    <t>Queens</t>
  </si>
  <si>
    <t>Hyde Park</t>
  </si>
  <si>
    <t>Hollywood</t>
  </si>
  <si>
    <t>Manhattan</t>
  </si>
  <si>
    <t>price_per_sqft</t>
  </si>
  <si>
    <t>Row Labels</t>
  </si>
  <si>
    <t>Grand Total</t>
  </si>
  <si>
    <t>Sum of price_per_sqft</t>
  </si>
  <si>
    <t>q1</t>
  </si>
  <si>
    <t>q3</t>
  </si>
  <si>
    <t>IQR</t>
  </si>
  <si>
    <t>UB</t>
  </si>
  <si>
    <t>LB</t>
  </si>
  <si>
    <t>Q3+1.5*IQR</t>
  </si>
  <si>
    <t>Q1-1.5*IQR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</si>
</sst>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6" fillId="33" borderId="0" xfId="0" applyFont="1" applyFill="1"/>
    <xf numFmtId="0" fontId="0" fillId="34" borderId="0" xfId="0" applyFill="1"/>
    <xf numFmtId="0" fontId="0" fillId="35" borderId="0" xfId="0" applyFill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Kaushal" refreshedDate="46273.144825810188" createdVersion="7" refreshedVersion="7" minRefreshableVersion="3" recordCount="200" xr:uid="{7814C42F-74AC-4E05-A937-588572DBC5D3}">
  <cacheSource type="worksheet">
    <worksheetSource ref="A1:E201" sheet="Sheet2"/>
  </cacheSource>
  <cacheFields count="5">
    <cacheField name="Type" numFmtId="0">
      <sharedItems count="5">
        <s v="Apartment"/>
        <s v="Townhouse"/>
        <s v="Others"/>
        <s v="Condo"/>
        <s v="House"/>
      </sharedItems>
    </cacheField>
    <cacheField name="City" numFmtId="0">
      <sharedItems count="6">
        <s v="Miami"/>
        <s v="Chicago"/>
        <s v="Los Angeles"/>
        <s v="San Francisco"/>
        <s v="Seattle"/>
        <s v="New York"/>
      </sharedItems>
    </cacheField>
    <cacheField name="Size_SqFt" numFmtId="0">
      <sharedItems containsSemiMixedTypes="0" containsString="0" containsNumber="1" containsInteger="1" minValue="530" maxValue="4977"/>
    </cacheField>
    <cacheField name="Listing_Price" numFmtId="0">
      <sharedItems containsSemiMixedTypes="0" containsString="0" containsNumber="1" minValue="1978192.7890000001" maxValue="1999984.88"/>
    </cacheField>
    <cacheField name="price_per_sqft" numFmtId="0">
      <sharedItems containsSemiMixedTypes="0" containsString="0" containsNumber="1" minValue="400.25570644966848" maxValue="3742.02307169811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4408"/>
    <n v="1984025.2919999999"/>
    <n v="450.09648185117965"/>
  </r>
  <r>
    <x v="1"/>
    <x v="1"/>
    <n v="4573"/>
    <n v="1998118.08"/>
    <n v="436.93813251694729"/>
  </r>
  <r>
    <x v="2"/>
    <x v="2"/>
    <n v="3478"/>
    <n v="1979159.625"/>
    <n v="569.0510710178263"/>
  </r>
  <r>
    <x v="3"/>
    <x v="3"/>
    <n v="4681"/>
    <n v="1986658.4"/>
    <n v="424.40897244178592"/>
  </r>
  <r>
    <x v="1"/>
    <x v="0"/>
    <n v="2022"/>
    <n v="1978944.291"/>
    <n v="978.70637537091989"/>
  </r>
  <r>
    <x v="2"/>
    <x v="4"/>
    <n v="4109"/>
    <n v="1992806.111"/>
    <n v="484.98566828912146"/>
  </r>
  <r>
    <x v="3"/>
    <x v="4"/>
    <n v="3866"/>
    <n v="1997021.7590000001"/>
    <n v="516.56020667356438"/>
  </r>
  <r>
    <x v="4"/>
    <x v="0"/>
    <n v="1129"/>
    <n v="1999984.88"/>
    <n v="1771.4657927369353"/>
  </r>
  <r>
    <x v="4"/>
    <x v="5"/>
    <n v="3324"/>
    <n v="1983179.5379999999"/>
    <n v="596.62440974729236"/>
  </r>
  <r>
    <x v="3"/>
    <x v="4"/>
    <n v="559"/>
    <n v="1993070.3859999999"/>
    <n v="3565.4210840787118"/>
  </r>
  <r>
    <x v="1"/>
    <x v="1"/>
    <n v="1887"/>
    <n v="1990855.6850000001"/>
    <n v="1055.0374589295177"/>
  </r>
  <r>
    <x v="4"/>
    <x v="3"/>
    <n v="4517"/>
    <n v="1999612.5249999999"/>
    <n v="442.68596967013502"/>
  </r>
  <r>
    <x v="4"/>
    <x v="3"/>
    <n v="3897"/>
    <n v="1982009.8810000001"/>
    <n v="508.598891711573"/>
  </r>
  <r>
    <x v="4"/>
    <x v="5"/>
    <n v="3697"/>
    <n v="1997644.8629999999"/>
    <n v="540.34213226940756"/>
  </r>
  <r>
    <x v="4"/>
    <x v="5"/>
    <n v="3271"/>
    <n v="1997940.878"/>
    <n v="610.8043038826047"/>
  </r>
  <r>
    <x v="1"/>
    <x v="0"/>
    <n v="3762"/>
    <n v="1979365.568"/>
    <n v="526.14714726209468"/>
  </r>
  <r>
    <x v="3"/>
    <x v="1"/>
    <n v="1810"/>
    <n v="1992078.432"/>
    <n v="1100.5958187845304"/>
  </r>
  <r>
    <x v="4"/>
    <x v="0"/>
    <n v="4167"/>
    <n v="1994372.0589999999"/>
    <n v="478.61100527957763"/>
  </r>
  <r>
    <x v="0"/>
    <x v="1"/>
    <n v="3924"/>
    <n v="1978635.9469999999"/>
    <n v="504.23953797145765"/>
  </r>
  <r>
    <x v="3"/>
    <x v="4"/>
    <n v="4102"/>
    <n v="1983259.8770000001"/>
    <n v="483.48607435397372"/>
  </r>
  <r>
    <x v="3"/>
    <x v="2"/>
    <n v="2207"/>
    <n v="1983333.8119999999"/>
    <n v="898.65600906207521"/>
  </r>
  <r>
    <x v="1"/>
    <x v="5"/>
    <n v="530"/>
    <n v="1983272.2279999999"/>
    <n v="3742.0230716981132"/>
  </r>
  <r>
    <x v="0"/>
    <x v="4"/>
    <n v="1911"/>
    <n v="1979771.656"/>
    <n v="1035.9872611198325"/>
  </r>
  <r>
    <x v="2"/>
    <x v="0"/>
    <n v="2253"/>
    <n v="1999130.99"/>
    <n v="887.31956946293826"/>
  </r>
  <r>
    <x v="1"/>
    <x v="1"/>
    <n v="3749"/>
    <n v="1988787.274"/>
    <n v="530.48473566284338"/>
  </r>
  <r>
    <x v="4"/>
    <x v="1"/>
    <n v="3780"/>
    <n v="1999144.902"/>
    <n v="528.87431269841272"/>
  </r>
  <r>
    <x v="2"/>
    <x v="0"/>
    <n v="4009"/>
    <n v="1994386.3929999999"/>
    <n v="497.47727438263905"/>
  </r>
  <r>
    <x v="0"/>
    <x v="4"/>
    <n v="4263"/>
    <n v="1993595.0859999999"/>
    <n v="467.65073563218391"/>
  </r>
  <r>
    <x v="3"/>
    <x v="2"/>
    <n v="4504"/>
    <n v="1988758.358"/>
    <n v="441.55380950266431"/>
  </r>
  <r>
    <x v="1"/>
    <x v="2"/>
    <n v="1118"/>
    <n v="1991422.7339999999"/>
    <n v="1781.2367924865832"/>
  </r>
  <r>
    <x v="4"/>
    <x v="5"/>
    <n v="3809"/>
    <n v="1983334.2549999999"/>
    <n v="520.69683775269095"/>
  </r>
  <r>
    <x v="1"/>
    <x v="5"/>
    <n v="715"/>
    <n v="1982069.1440000001"/>
    <n v="2772.124676923077"/>
  </r>
  <r>
    <x v="4"/>
    <x v="1"/>
    <n v="899"/>
    <n v="1981581.8910000001"/>
    <n v="2204.2067753058955"/>
  </r>
  <r>
    <x v="4"/>
    <x v="4"/>
    <n v="3208"/>
    <n v="1997244.074"/>
    <n v="622.58231733167088"/>
  </r>
  <r>
    <x v="0"/>
    <x v="2"/>
    <n v="3989"/>
    <n v="1979603.047"/>
    <n v="496.26549185259466"/>
  </r>
  <r>
    <x v="0"/>
    <x v="2"/>
    <n v="1209"/>
    <n v="1987269.7649999999"/>
    <n v="1643.7301612903225"/>
  </r>
  <r>
    <x v="0"/>
    <x v="2"/>
    <n v="3078"/>
    <n v="1986173.7890000001"/>
    <n v="645.2806332033789"/>
  </r>
  <r>
    <x v="2"/>
    <x v="5"/>
    <n v="4839"/>
    <n v="1979884.737"/>
    <n v="409.15162988220703"/>
  </r>
  <r>
    <x v="4"/>
    <x v="3"/>
    <n v="4977"/>
    <n v="1992072.6510000001"/>
    <n v="400.25570644966848"/>
  </r>
  <r>
    <x v="3"/>
    <x v="5"/>
    <n v="4839"/>
    <n v="1985488.2250000001"/>
    <n v="410.30961458979129"/>
  </r>
  <r>
    <x v="0"/>
    <x v="4"/>
    <n v="2513"/>
    <n v="1987951.304"/>
    <n v="791.06697333863906"/>
  </r>
  <r>
    <x v="3"/>
    <x v="5"/>
    <n v="774"/>
    <n v="1983461.709"/>
    <n v="2562.6120271317832"/>
  </r>
  <r>
    <x v="1"/>
    <x v="3"/>
    <n v="916"/>
    <n v="1981432.4450000001"/>
    <n v="2163.1358569868999"/>
  </r>
  <r>
    <x v="1"/>
    <x v="0"/>
    <n v="3716"/>
    <n v="1990964.6680000001"/>
    <n v="535.7816652314317"/>
  </r>
  <r>
    <x v="1"/>
    <x v="4"/>
    <n v="4739"/>
    <n v="1998835.4010000001"/>
    <n v="421.78421629035665"/>
  </r>
  <r>
    <x v="0"/>
    <x v="4"/>
    <n v="4159"/>
    <n v="1997493.7949999999"/>
    <n v="480.28223010339025"/>
  </r>
  <r>
    <x v="3"/>
    <x v="5"/>
    <n v="1198"/>
    <n v="1991526.273"/>
    <n v="1662.3758539232053"/>
  </r>
  <r>
    <x v="4"/>
    <x v="3"/>
    <n v="2653"/>
    <n v="1989568.5560000001"/>
    <n v="749.93160799095369"/>
  </r>
  <r>
    <x v="0"/>
    <x v="0"/>
    <n v="4909"/>
    <n v="1998889.689"/>
    <n v="407.18877347728665"/>
  </r>
  <r>
    <x v="3"/>
    <x v="4"/>
    <n v="2986"/>
    <n v="1985593.334"/>
    <n v="664.96762692565301"/>
  </r>
  <r>
    <x v="0"/>
    <x v="3"/>
    <n v="654"/>
    <n v="1996931.46"/>
    <n v="3053.4120183486239"/>
  </r>
  <r>
    <x v="1"/>
    <x v="4"/>
    <n v="1963"/>
    <n v="1986712.0660000001"/>
    <n v="1012.0795038206827"/>
  </r>
  <r>
    <x v="0"/>
    <x v="2"/>
    <n v="1603"/>
    <n v="1998537.3119999999"/>
    <n v="1246.7481671865253"/>
  </r>
  <r>
    <x v="4"/>
    <x v="1"/>
    <n v="680"/>
    <n v="1987183.757"/>
    <n v="2922.3290544117649"/>
  </r>
  <r>
    <x v="0"/>
    <x v="0"/>
    <n v="937"/>
    <n v="1983868.5719999999"/>
    <n v="2117.2556798292421"/>
  </r>
  <r>
    <x v="2"/>
    <x v="3"/>
    <n v="2653"/>
    <n v="1985218.0160000001"/>
    <n v="748.29175122502829"/>
  </r>
  <r>
    <x v="1"/>
    <x v="0"/>
    <n v="2962"/>
    <n v="1991380.206"/>
    <n v="672.30932005401758"/>
  </r>
  <r>
    <x v="0"/>
    <x v="4"/>
    <n v="4942"/>
    <n v="1996408.2450000001"/>
    <n v="403.96767401861598"/>
  </r>
  <r>
    <x v="4"/>
    <x v="1"/>
    <n v="1472"/>
    <n v="1987334.4339999999"/>
    <n v="1350.091327445652"/>
  </r>
  <r>
    <x v="4"/>
    <x v="0"/>
    <n v="2488"/>
    <n v="1979714.2439999999"/>
    <n v="795.70508199356914"/>
  </r>
  <r>
    <x v="1"/>
    <x v="3"/>
    <n v="1154"/>
    <n v="1998915.446"/>
    <n v="1732.162431542461"/>
  </r>
  <r>
    <x v="4"/>
    <x v="3"/>
    <n v="2215"/>
    <n v="1985040.9140000001"/>
    <n v="896.18099954853278"/>
  </r>
  <r>
    <x v="4"/>
    <x v="4"/>
    <n v="4281"/>
    <n v="1991459.2720000001"/>
    <n v="465.18553422097642"/>
  </r>
  <r>
    <x v="4"/>
    <x v="4"/>
    <n v="1222"/>
    <n v="1982599.828"/>
    <n v="1622.4221178396072"/>
  </r>
  <r>
    <x v="0"/>
    <x v="4"/>
    <n v="2859"/>
    <n v="1980647.16"/>
    <n v="692.77620146904508"/>
  </r>
  <r>
    <x v="0"/>
    <x v="5"/>
    <n v="2677"/>
    <n v="1996834.2309999999"/>
    <n v="745.92238737392597"/>
  </r>
  <r>
    <x v="3"/>
    <x v="5"/>
    <n v="3610"/>
    <n v="1978370.8859999999"/>
    <n v="548.02517617728529"/>
  </r>
  <r>
    <x v="1"/>
    <x v="4"/>
    <n v="4442"/>
    <n v="1987108.5279999999"/>
    <n v="447.34545880234128"/>
  </r>
  <r>
    <x v="0"/>
    <x v="3"/>
    <n v="4559"/>
    <n v="1978717.246"/>
    <n v="434.02440140381663"/>
  </r>
  <r>
    <x v="1"/>
    <x v="4"/>
    <n v="2810"/>
    <n v="1989856.6470000001"/>
    <n v="708.13403807829184"/>
  </r>
  <r>
    <x v="3"/>
    <x v="0"/>
    <n v="4235"/>
    <n v="1991046.0220000001"/>
    <n v="470.14073719008269"/>
  </r>
  <r>
    <x v="3"/>
    <x v="5"/>
    <n v="2737"/>
    <n v="1997035.9779999999"/>
    <n v="729.64412787723779"/>
  </r>
  <r>
    <x v="1"/>
    <x v="0"/>
    <n v="3735"/>
    <n v="1999224.7579999999"/>
    <n v="535.26767282463186"/>
  </r>
  <r>
    <x v="4"/>
    <x v="1"/>
    <n v="4701"/>
    <n v="1982139.466"/>
    <n v="421.64209019357583"/>
  </r>
  <r>
    <x v="3"/>
    <x v="1"/>
    <n v="2692"/>
    <n v="1978946.1610000001"/>
    <n v="735.12115936106989"/>
  </r>
  <r>
    <x v="3"/>
    <x v="0"/>
    <n v="3150"/>
    <n v="1993982.105"/>
    <n v="633.01019206349201"/>
  </r>
  <r>
    <x v="0"/>
    <x v="5"/>
    <n v="726"/>
    <n v="1978220.5549999999"/>
    <n v="2724.8217011019283"/>
  </r>
  <r>
    <x v="1"/>
    <x v="4"/>
    <n v="569"/>
    <n v="1980531.2479999999"/>
    <n v="3480.7227557117749"/>
  </r>
  <r>
    <x v="4"/>
    <x v="2"/>
    <n v="1361"/>
    <n v="1997362.3389999999"/>
    <n v="1467.5696833210873"/>
  </r>
  <r>
    <x v="3"/>
    <x v="3"/>
    <n v="4444"/>
    <n v="1980900.723"/>
    <n v="445.74723739873986"/>
  </r>
  <r>
    <x v="1"/>
    <x v="3"/>
    <n v="2799"/>
    <n v="1988087.9920000001"/>
    <n v="710.28509896391574"/>
  </r>
  <r>
    <x v="1"/>
    <x v="4"/>
    <n v="1232"/>
    <n v="1996174.39"/>
    <n v="1620.2714204545455"/>
  </r>
  <r>
    <x v="3"/>
    <x v="5"/>
    <n v="2205"/>
    <n v="1981763.9010000001"/>
    <n v="898.75913877551022"/>
  </r>
  <r>
    <x v="3"/>
    <x v="0"/>
    <n v="2995"/>
    <n v="1979320.3459999999"/>
    <n v="660.87490684474119"/>
  </r>
  <r>
    <x v="1"/>
    <x v="2"/>
    <n v="3095"/>
    <n v="1999954.351"/>
    <n v="646.18880484652664"/>
  </r>
  <r>
    <x v="3"/>
    <x v="4"/>
    <n v="1911"/>
    <n v="1978397.443"/>
    <n v="1035.26815436944"/>
  </r>
  <r>
    <x v="3"/>
    <x v="0"/>
    <n v="767"/>
    <n v="1996837.1880000001"/>
    <n v="2603.4383155149935"/>
  </r>
  <r>
    <x v="0"/>
    <x v="4"/>
    <n v="2604"/>
    <n v="1997388.844"/>
    <n v="767.04640706605221"/>
  </r>
  <r>
    <x v="0"/>
    <x v="4"/>
    <n v="3259"/>
    <n v="1992761.6"/>
    <n v="611.46413010125809"/>
  </r>
  <r>
    <x v="3"/>
    <x v="4"/>
    <n v="565"/>
    <n v="1993946.1240000001"/>
    <n v="3529.1081840707966"/>
  </r>
  <r>
    <x v="0"/>
    <x v="1"/>
    <n v="4389"/>
    <n v="1979538.804"/>
    <n v="451.02273957621327"/>
  </r>
  <r>
    <x v="3"/>
    <x v="1"/>
    <n v="1168"/>
    <n v="1996218.906"/>
    <n v="1709.0915291095889"/>
  </r>
  <r>
    <x v="1"/>
    <x v="1"/>
    <n v="4637"/>
    <n v="1985723.905"/>
    <n v="428.23461397455253"/>
  </r>
  <r>
    <x v="3"/>
    <x v="2"/>
    <n v="4127"/>
    <n v="1985604.1669999999"/>
    <n v="481.12531306033435"/>
  </r>
  <r>
    <x v="0"/>
    <x v="1"/>
    <n v="3543"/>
    <n v="1986455.841"/>
    <n v="560.67057324301436"/>
  </r>
  <r>
    <x v="1"/>
    <x v="2"/>
    <n v="2031"/>
    <n v="1982303.216"/>
    <n v="976.02324766125059"/>
  </r>
  <r>
    <x v="1"/>
    <x v="4"/>
    <n v="2867"/>
    <n v="1993223.8959999999"/>
    <n v="695.22982071852107"/>
  </r>
  <r>
    <x v="3"/>
    <x v="1"/>
    <n v="3178"/>
    <n v="1987255.52"/>
    <n v="625.31640025173067"/>
  </r>
  <r>
    <x v="1"/>
    <x v="4"/>
    <n v="1967"/>
    <n v="1978682.0919999999"/>
    <n v="1005.9390401626843"/>
  </r>
  <r>
    <x v="4"/>
    <x v="3"/>
    <n v="4319"/>
    <n v="1991381.132"/>
    <n v="461.07458485760594"/>
  </r>
  <r>
    <x v="1"/>
    <x v="1"/>
    <n v="4341"/>
    <n v="1985745.8370000001"/>
    <n v="457.43972287491363"/>
  </r>
  <r>
    <x v="3"/>
    <x v="1"/>
    <n v="4126"/>
    <n v="1987288.5220000001"/>
    <n v="481.65015075133306"/>
  </r>
  <r>
    <x v="4"/>
    <x v="1"/>
    <n v="4788"/>
    <n v="1991959.068"/>
    <n v="416.03155137844612"/>
  </r>
  <r>
    <x v="1"/>
    <x v="0"/>
    <n v="4283"/>
    <n v="1999295.398"/>
    <n v="466.79789820219474"/>
  </r>
  <r>
    <x v="3"/>
    <x v="1"/>
    <n v="2955"/>
    <n v="1992698.0160000001"/>
    <n v="674.34789035532992"/>
  </r>
  <r>
    <x v="3"/>
    <x v="4"/>
    <n v="2633"/>
    <n v="1984546.6059999999"/>
    <n v="753.72070110140521"/>
  </r>
  <r>
    <x v="3"/>
    <x v="0"/>
    <n v="4067"/>
    <n v="1978369.808"/>
    <n v="486.44450651585936"/>
  </r>
  <r>
    <x v="3"/>
    <x v="0"/>
    <n v="1758"/>
    <n v="1982449.2790000001"/>
    <n v="1127.6730824800911"/>
  </r>
  <r>
    <x v="0"/>
    <x v="1"/>
    <n v="4672"/>
    <n v="1992044.976"/>
    <n v="426.37948972602743"/>
  </r>
  <r>
    <x v="0"/>
    <x v="1"/>
    <n v="4333"/>
    <n v="1999739.486"/>
    <n v="461.51384398799911"/>
  </r>
  <r>
    <x v="4"/>
    <x v="5"/>
    <n v="1917"/>
    <n v="1980645.054"/>
    <n v="1033.2003411580595"/>
  </r>
  <r>
    <x v="4"/>
    <x v="3"/>
    <n v="4358"/>
    <n v="1999032.334"/>
    <n v="458.70406929784303"/>
  </r>
  <r>
    <x v="0"/>
    <x v="2"/>
    <n v="4580"/>
    <n v="1991251.986"/>
    <n v="434.77117598253278"/>
  </r>
  <r>
    <x v="4"/>
    <x v="5"/>
    <n v="4812"/>
    <n v="1995642.297"/>
    <n v="414.72200685785538"/>
  </r>
  <r>
    <x v="0"/>
    <x v="1"/>
    <n v="1141"/>
    <n v="1985128.3729999999"/>
    <n v="1739.8145249780894"/>
  </r>
  <r>
    <x v="0"/>
    <x v="1"/>
    <n v="2743"/>
    <n v="1985099.9879999999"/>
    <n v="723.69667808968279"/>
  </r>
  <r>
    <x v="0"/>
    <x v="0"/>
    <n v="1010"/>
    <n v="1980408.149"/>
    <n v="1960.8001475247524"/>
  </r>
  <r>
    <x v="0"/>
    <x v="5"/>
    <n v="4675"/>
    <n v="1979506.8130000001"/>
    <n v="423.42391721925134"/>
  </r>
  <r>
    <x v="3"/>
    <x v="0"/>
    <n v="4378"/>
    <n v="1992460.497"/>
    <n v="455.10746847875743"/>
  </r>
  <r>
    <x v="0"/>
    <x v="2"/>
    <n v="2645"/>
    <n v="1984923.318"/>
    <n v="750.44359848771262"/>
  </r>
  <r>
    <x v="4"/>
    <x v="1"/>
    <n v="1104"/>
    <n v="1981171.007"/>
    <n v="1794.5389556159421"/>
  </r>
  <r>
    <x v="1"/>
    <x v="5"/>
    <n v="1023"/>
    <n v="1997902.5330000001"/>
    <n v="1952.9839032258064"/>
  </r>
  <r>
    <x v="3"/>
    <x v="4"/>
    <n v="3963"/>
    <n v="1979782.7660000001"/>
    <n v="499.56668332071666"/>
  </r>
  <r>
    <x v="1"/>
    <x v="4"/>
    <n v="987"/>
    <n v="1984657.598"/>
    <n v="2010.7979716312057"/>
  </r>
  <r>
    <x v="0"/>
    <x v="5"/>
    <n v="3448"/>
    <n v="1982823.568"/>
    <n v="575.06483990719255"/>
  </r>
  <r>
    <x v="4"/>
    <x v="0"/>
    <n v="1089"/>
    <n v="1981501.2949999999"/>
    <n v="1819.5604178145086"/>
  </r>
  <r>
    <x v="4"/>
    <x v="3"/>
    <n v="4702"/>
    <n v="1995126.246"/>
    <n v="424.31438664398127"/>
  </r>
  <r>
    <x v="3"/>
    <x v="2"/>
    <n v="3546"/>
    <n v="1986307.219"/>
    <n v="560.1543200789622"/>
  </r>
  <r>
    <x v="4"/>
    <x v="0"/>
    <n v="4094"/>
    <n v="1995185.804"/>
    <n v="487.34387005373719"/>
  </r>
  <r>
    <x v="4"/>
    <x v="0"/>
    <n v="3616"/>
    <n v="1988938.443"/>
    <n v="550.03828622787614"/>
  </r>
  <r>
    <x v="0"/>
    <x v="2"/>
    <n v="3851"/>
    <n v="1988729.0560000001"/>
    <n v="516.41886678784738"/>
  </r>
  <r>
    <x v="3"/>
    <x v="5"/>
    <n v="566"/>
    <n v="1998089.297"/>
    <n v="3530.1931042402825"/>
  </r>
  <r>
    <x v="1"/>
    <x v="1"/>
    <n v="2202"/>
    <n v="1986060.7709999999"/>
    <n v="901.93495504087196"/>
  </r>
  <r>
    <x v="0"/>
    <x v="0"/>
    <n v="2461"/>
    <n v="1988536.909"/>
    <n v="808.01987362860621"/>
  </r>
  <r>
    <x v="0"/>
    <x v="0"/>
    <n v="3042"/>
    <n v="1982639.87"/>
    <n v="651.75538132807367"/>
  </r>
  <r>
    <x v="3"/>
    <x v="5"/>
    <n v="886"/>
    <n v="1998147.76"/>
    <n v="2255.2457787810386"/>
  </r>
  <r>
    <x v="1"/>
    <x v="2"/>
    <n v="3355"/>
    <n v="1985994.3189999999"/>
    <n v="591.95061669150516"/>
  </r>
  <r>
    <x v="0"/>
    <x v="0"/>
    <n v="3955"/>
    <n v="1995685.42"/>
    <n v="504.59808343868519"/>
  </r>
  <r>
    <x v="4"/>
    <x v="2"/>
    <n v="2759"/>
    <n v="1997368.0919999999"/>
    <n v="723.94639072127586"/>
  </r>
  <r>
    <x v="2"/>
    <x v="5"/>
    <n v="1262"/>
    <n v="1984699.871"/>
    <n v="1572.6623383518224"/>
  </r>
  <r>
    <x v="3"/>
    <x v="1"/>
    <n v="2761"/>
    <n v="1991125.112"/>
    <n v="721.16085186526618"/>
  </r>
  <r>
    <x v="0"/>
    <x v="2"/>
    <n v="3026"/>
    <n v="1997881.6159999999"/>
    <n v="660.23847191011237"/>
  </r>
  <r>
    <x v="1"/>
    <x v="4"/>
    <n v="3808"/>
    <n v="1993047.8470000001"/>
    <n v="523.38441360294121"/>
  </r>
  <r>
    <x v="0"/>
    <x v="4"/>
    <n v="4223"/>
    <n v="1988381.723"/>
    <n v="470.84577859341698"/>
  </r>
  <r>
    <x v="3"/>
    <x v="3"/>
    <n v="4431"/>
    <n v="1990369.26"/>
    <n v="449.19188896411646"/>
  </r>
  <r>
    <x v="3"/>
    <x v="1"/>
    <n v="4446"/>
    <n v="1990552.996"/>
    <n v="447.71772289698606"/>
  </r>
  <r>
    <x v="1"/>
    <x v="4"/>
    <n v="3808"/>
    <n v="1978192.7890000001"/>
    <n v="519.48340047268914"/>
  </r>
  <r>
    <x v="3"/>
    <x v="2"/>
    <n v="1045"/>
    <n v="1980975.2720000001"/>
    <n v="1895.6701167464116"/>
  </r>
  <r>
    <x v="1"/>
    <x v="0"/>
    <n v="862"/>
    <n v="1996699.6569999999"/>
    <n v="2316.3569106728537"/>
  </r>
  <r>
    <x v="0"/>
    <x v="2"/>
    <n v="3151"/>
    <n v="1993698.2209999999"/>
    <n v="632.71920691843854"/>
  </r>
  <r>
    <x v="4"/>
    <x v="2"/>
    <n v="1379"/>
    <n v="1996426.044"/>
    <n v="1447.7346221899927"/>
  </r>
  <r>
    <x v="0"/>
    <x v="0"/>
    <n v="4164"/>
    <n v="1989635.642"/>
    <n v="477.81835782901055"/>
  </r>
  <r>
    <x v="4"/>
    <x v="1"/>
    <n v="993"/>
    <n v="1999154.5989999999"/>
    <n v="2013.2473303121851"/>
  </r>
  <r>
    <x v="3"/>
    <x v="2"/>
    <n v="603"/>
    <n v="1984705.246"/>
    <n v="3291.3851509121064"/>
  </r>
  <r>
    <x v="4"/>
    <x v="1"/>
    <n v="4150"/>
    <n v="1998870.7879999999"/>
    <n v="481.65561156626507"/>
  </r>
  <r>
    <x v="0"/>
    <x v="2"/>
    <n v="2393"/>
    <n v="1995416.182"/>
    <n v="833.85548767237776"/>
  </r>
  <r>
    <x v="3"/>
    <x v="4"/>
    <n v="808"/>
    <n v="1985841.9850000001"/>
    <n v="2457.7252289603962"/>
  </r>
  <r>
    <x v="4"/>
    <x v="0"/>
    <n v="4085"/>
    <n v="1999573.3149999999"/>
    <n v="489.49163157894736"/>
  </r>
  <r>
    <x v="4"/>
    <x v="4"/>
    <n v="1979"/>
    <n v="1987998.8529999999"/>
    <n v="1004.5471718039413"/>
  </r>
  <r>
    <x v="1"/>
    <x v="3"/>
    <n v="1344"/>
    <n v="1989135.077"/>
    <n v="1480.0112180059525"/>
  </r>
  <r>
    <x v="3"/>
    <x v="4"/>
    <n v="3548"/>
    <n v="1988657.2450000001"/>
    <n v="560.50091459977455"/>
  </r>
  <r>
    <x v="0"/>
    <x v="4"/>
    <n v="1647"/>
    <n v="1995985.96"/>
    <n v="1211.8919004250151"/>
  </r>
  <r>
    <x v="4"/>
    <x v="5"/>
    <n v="569"/>
    <n v="1999111.43"/>
    <n v="3513.3768541300528"/>
  </r>
  <r>
    <x v="0"/>
    <x v="0"/>
    <n v="2749"/>
    <n v="1987100.6159999999"/>
    <n v="722.84489487086205"/>
  </r>
  <r>
    <x v="0"/>
    <x v="0"/>
    <n v="4867"/>
    <n v="1991561.436"/>
    <n v="409.19692541606742"/>
  </r>
  <r>
    <x v="3"/>
    <x v="2"/>
    <n v="2971"/>
    <n v="1987970.365"/>
    <n v="669.12499663412996"/>
  </r>
  <r>
    <x v="3"/>
    <x v="0"/>
    <n v="673"/>
    <n v="1986842.139"/>
    <n v="2952.217145616642"/>
  </r>
  <r>
    <x v="1"/>
    <x v="4"/>
    <n v="3827"/>
    <n v="1997646.476"/>
    <n v="521.98758191795139"/>
  </r>
  <r>
    <x v="0"/>
    <x v="2"/>
    <n v="2154"/>
    <n v="1979421.8019999999"/>
    <n v="918.95162581244188"/>
  </r>
  <r>
    <x v="0"/>
    <x v="4"/>
    <n v="551"/>
    <n v="1979249.2709999999"/>
    <n v="3592.1039401088929"/>
  </r>
  <r>
    <x v="3"/>
    <x v="0"/>
    <n v="4309"/>
    <n v="1985779.192"/>
    <n v="460.84455604548623"/>
  </r>
  <r>
    <x v="1"/>
    <x v="5"/>
    <n v="3748"/>
    <n v="1985116.6070000001"/>
    <n v="529.64690688367136"/>
  </r>
  <r>
    <x v="3"/>
    <x v="0"/>
    <n v="2028"/>
    <n v="1985299.952"/>
    <n v="978.94474950690335"/>
  </r>
  <r>
    <x v="4"/>
    <x v="1"/>
    <n v="2261"/>
    <n v="1995241.8910000001"/>
    <n v="882.45992525431222"/>
  </r>
  <r>
    <x v="1"/>
    <x v="0"/>
    <n v="3939"/>
    <n v="1995879.9180000001"/>
    <n v="506.69711043412036"/>
  </r>
  <r>
    <x v="1"/>
    <x v="5"/>
    <n v="4107"/>
    <n v="1988107.9620000001"/>
    <n v="484.0779065010957"/>
  </r>
  <r>
    <x v="3"/>
    <x v="5"/>
    <n v="3091"/>
    <n v="1983508.6629999999"/>
    <n v="641.70451730831439"/>
  </r>
  <r>
    <x v="4"/>
    <x v="3"/>
    <n v="689"/>
    <n v="1992480.1669999999"/>
    <n v="2891.8434934687953"/>
  </r>
  <r>
    <x v="0"/>
    <x v="1"/>
    <n v="1262"/>
    <n v="1987181.997"/>
    <n v="1574.6291576862122"/>
  </r>
  <r>
    <x v="4"/>
    <x v="5"/>
    <n v="4879"/>
    <n v="1991633.2549999999"/>
    <n v="408.20521725763473"/>
  </r>
  <r>
    <x v="0"/>
    <x v="1"/>
    <n v="4403"/>
    <n v="1991331.3959999999"/>
    <n v="452.26695344083578"/>
  </r>
  <r>
    <x v="3"/>
    <x v="5"/>
    <n v="4138"/>
    <n v="1992595.9820000001"/>
    <n v="481.53600338327698"/>
  </r>
  <r>
    <x v="4"/>
    <x v="0"/>
    <n v="2681"/>
    <n v="1981196.088"/>
    <n v="738.97653412905629"/>
  </r>
  <r>
    <x v="3"/>
    <x v="0"/>
    <n v="3881"/>
    <n v="1991181.1580000001"/>
    <n v="513.05878845658333"/>
  </r>
  <r>
    <x v="0"/>
    <x v="1"/>
    <n v="4814"/>
    <n v="1990148.04"/>
    <n v="413.40840049854592"/>
  </r>
  <r>
    <x v="4"/>
    <x v="1"/>
    <n v="1228"/>
    <n v="1978688.977"/>
    <n v="1611.3102418566775"/>
  </r>
  <r>
    <x v="4"/>
    <x v="0"/>
    <n v="4641"/>
    <n v="1992431.5109999999"/>
    <n v="429.31081900452489"/>
  </r>
  <r>
    <x v="0"/>
    <x v="5"/>
    <n v="4522"/>
    <n v="1990771.2420000001"/>
    <n v="440.24131844316673"/>
  </r>
  <r>
    <x v="4"/>
    <x v="1"/>
    <n v="1414"/>
    <n v="1986080.344"/>
    <n v="1404.5829872701556"/>
  </r>
  <r>
    <x v="1"/>
    <x v="5"/>
    <n v="4349"/>
    <n v="1982039.821"/>
    <n v="455.74610738100711"/>
  </r>
  <r>
    <x v="4"/>
    <x v="0"/>
    <n v="4698"/>
    <n v="1998048.3089999999"/>
    <n v="425.29763920817368"/>
  </r>
  <r>
    <x v="4"/>
    <x v="0"/>
    <n v="4664"/>
    <n v="1982911.176"/>
    <n v="425.15248198970841"/>
  </r>
  <r>
    <x v="3"/>
    <x v="0"/>
    <n v="1625"/>
    <n v="1995497.503"/>
    <n v="1227.9984633846154"/>
  </r>
  <r>
    <x v="2"/>
    <x v="1"/>
    <n v="2166"/>
    <n v="1995364.172"/>
    <n v="921.22076269621425"/>
  </r>
  <r>
    <x v="3"/>
    <x v="3"/>
    <n v="3177"/>
    <n v="1988390.3589999999"/>
    <n v="625.87043090966324"/>
  </r>
  <r>
    <x v="3"/>
    <x v="0"/>
    <n v="1966"/>
    <n v="1990571.077"/>
    <n v="1012.4980045778231"/>
  </r>
  <r>
    <x v="1"/>
    <x v="2"/>
    <n v="2933"/>
    <n v="1986949.8259999999"/>
    <n v="677.44624139106713"/>
  </r>
  <r>
    <x v="4"/>
    <x v="5"/>
    <n v="1232"/>
    <n v="1985962.108"/>
    <n v="1611.9822305194805"/>
  </r>
  <r>
    <x v="3"/>
    <x v="3"/>
    <n v="4482"/>
    <n v="1997788.615"/>
    <n v="445.73596943328869"/>
  </r>
  <r>
    <x v="0"/>
    <x v="4"/>
    <n v="2055"/>
    <n v="1995340.1040000001"/>
    <n v="970.968420437956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9F604-C980-42B4-98F4-6776108BF3B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9" firstHeaderRow="1" firstDataRow="1" firstDataCol="1"/>
  <pivotFields count="5">
    <pivotField axis="axisRow" showAll="0">
      <items count="6">
        <item x="0"/>
        <item x="3"/>
        <item x="4"/>
        <item x="2"/>
        <item x="1"/>
        <item t="default"/>
      </items>
    </pivotField>
    <pivotField axis="axisRow"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price_per_sqf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workbookViewId="0">
      <selection activeCell="H16" sqref="A1:XFD1048576"/>
    </sheetView>
  </sheetViews>
  <sheetFormatPr defaultRowHeight="14.4" x14ac:dyDescent="0.3"/>
  <cols>
    <col min="2" max="3" width="20.33203125" customWidth="1"/>
    <col min="10" max="11" width="20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332</v>
      </c>
      <c r="B2" t="s">
        <v>12</v>
      </c>
      <c r="C2" t="s">
        <v>13</v>
      </c>
      <c r="D2">
        <v>4408</v>
      </c>
      <c r="E2">
        <v>5</v>
      </c>
      <c r="F2">
        <v>3</v>
      </c>
      <c r="G2">
        <v>1950</v>
      </c>
      <c r="H2">
        <v>1984025.2919999999</v>
      </c>
      <c r="I2">
        <v>2349.8031369999999</v>
      </c>
      <c r="J2" t="s">
        <v>14</v>
      </c>
      <c r="K2" t="s">
        <v>15</v>
      </c>
      <c r="L2">
        <v>0.99269963498174907</v>
      </c>
    </row>
    <row r="3" spans="1:12" x14ac:dyDescent="0.3">
      <c r="A3">
        <v>339</v>
      </c>
      <c r="B3" t="s">
        <v>16</v>
      </c>
      <c r="C3" t="s">
        <v>17</v>
      </c>
      <c r="D3">
        <v>4573</v>
      </c>
      <c r="E3">
        <v>2</v>
      </c>
      <c r="F3">
        <v>1</v>
      </c>
      <c r="G3">
        <v>1978</v>
      </c>
      <c r="H3">
        <v>1998118.08</v>
      </c>
      <c r="I3">
        <v>6093.3099949999996</v>
      </c>
      <c r="J3" t="s">
        <v>18</v>
      </c>
      <c r="K3" t="s">
        <v>15</v>
      </c>
      <c r="L3">
        <v>0.99909995499774984</v>
      </c>
    </row>
    <row r="4" spans="1:12" x14ac:dyDescent="0.3">
      <c r="A4">
        <v>357</v>
      </c>
      <c r="B4" t="s">
        <v>19</v>
      </c>
      <c r="C4" t="s">
        <v>20</v>
      </c>
      <c r="D4">
        <v>3478</v>
      </c>
      <c r="E4">
        <v>4</v>
      </c>
      <c r="F4">
        <v>2</v>
      </c>
      <c r="G4">
        <v>1961</v>
      </c>
      <c r="H4">
        <v>1979159.625</v>
      </c>
      <c r="I4">
        <v>3989.4125779999999</v>
      </c>
      <c r="J4" t="s">
        <v>21</v>
      </c>
      <c r="K4" t="s">
        <v>15</v>
      </c>
      <c r="L4">
        <v>0.9905995299764988</v>
      </c>
    </row>
    <row r="5" spans="1:12" x14ac:dyDescent="0.3">
      <c r="A5">
        <v>446</v>
      </c>
      <c r="B5" t="s">
        <v>22</v>
      </c>
      <c r="C5" t="s">
        <v>23</v>
      </c>
      <c r="D5">
        <v>4681</v>
      </c>
      <c r="E5">
        <v>5</v>
      </c>
      <c r="F5">
        <v>1</v>
      </c>
      <c r="G5">
        <v>1950</v>
      </c>
      <c r="H5">
        <v>1986658.4</v>
      </c>
      <c r="I5">
        <v>3831.303903</v>
      </c>
      <c r="J5" t="s">
        <v>24</v>
      </c>
      <c r="K5" t="s">
        <v>15</v>
      </c>
      <c r="L5">
        <v>0.99399969998499926</v>
      </c>
    </row>
    <row r="6" spans="1:12" x14ac:dyDescent="0.3">
      <c r="A6">
        <v>610</v>
      </c>
      <c r="B6" t="s">
        <v>16</v>
      </c>
      <c r="C6" t="s">
        <v>13</v>
      </c>
      <c r="D6">
        <v>2022</v>
      </c>
      <c r="E6">
        <v>3</v>
      </c>
      <c r="F6">
        <v>3</v>
      </c>
      <c r="G6">
        <v>2017</v>
      </c>
      <c r="H6">
        <v>1978944.291</v>
      </c>
      <c r="I6">
        <v>4563.9746459999997</v>
      </c>
      <c r="J6" t="s">
        <v>25</v>
      </c>
      <c r="K6" t="s">
        <v>26</v>
      </c>
      <c r="L6">
        <v>0.99049952497624882</v>
      </c>
    </row>
    <row r="7" spans="1:12" x14ac:dyDescent="0.3">
      <c r="A7">
        <v>622</v>
      </c>
      <c r="B7" t="s">
        <v>19</v>
      </c>
      <c r="C7" t="s">
        <v>27</v>
      </c>
      <c r="D7">
        <v>4109</v>
      </c>
      <c r="E7">
        <v>2</v>
      </c>
      <c r="F7">
        <v>1</v>
      </c>
      <c r="G7">
        <v>1987</v>
      </c>
      <c r="H7">
        <v>1992806.111</v>
      </c>
      <c r="I7">
        <v>2099.1773640000001</v>
      </c>
      <c r="J7" t="s">
        <v>28</v>
      </c>
      <c r="K7" t="s">
        <v>15</v>
      </c>
      <c r="L7">
        <v>0.9968998449922496</v>
      </c>
    </row>
    <row r="8" spans="1:12" x14ac:dyDescent="0.3">
      <c r="A8">
        <v>1014</v>
      </c>
      <c r="B8" t="s">
        <v>22</v>
      </c>
      <c r="C8" t="s">
        <v>27</v>
      </c>
      <c r="D8">
        <v>3866</v>
      </c>
      <c r="E8">
        <v>1</v>
      </c>
      <c r="F8">
        <v>3</v>
      </c>
      <c r="G8">
        <v>1980</v>
      </c>
      <c r="H8">
        <v>1997021.7590000001</v>
      </c>
      <c r="I8">
        <v>6449.4863809999997</v>
      </c>
      <c r="J8" t="s">
        <v>29</v>
      </c>
      <c r="K8" t="s">
        <v>30</v>
      </c>
      <c r="L8">
        <v>0.99834991749587476</v>
      </c>
    </row>
    <row r="9" spans="1:12" x14ac:dyDescent="0.3">
      <c r="A9">
        <v>1120</v>
      </c>
      <c r="B9" t="s">
        <v>31</v>
      </c>
      <c r="C9" t="s">
        <v>13</v>
      </c>
      <c r="D9">
        <v>1129</v>
      </c>
      <c r="E9">
        <v>3</v>
      </c>
      <c r="F9">
        <v>2</v>
      </c>
      <c r="G9">
        <v>1968</v>
      </c>
      <c r="H9">
        <v>1999984.88</v>
      </c>
      <c r="I9">
        <v>2685.5398209999998</v>
      </c>
      <c r="J9" t="s">
        <v>32</v>
      </c>
      <c r="K9" t="s">
        <v>30</v>
      </c>
      <c r="L9">
        <v>1</v>
      </c>
    </row>
    <row r="10" spans="1:12" x14ac:dyDescent="0.3">
      <c r="A10">
        <v>1138</v>
      </c>
      <c r="B10" t="s">
        <v>31</v>
      </c>
      <c r="C10" t="s">
        <v>33</v>
      </c>
      <c r="D10">
        <v>3324</v>
      </c>
      <c r="E10">
        <v>2</v>
      </c>
      <c r="F10">
        <v>1</v>
      </c>
      <c r="G10">
        <v>1979</v>
      </c>
      <c r="H10">
        <v>1983179.5379999999</v>
      </c>
      <c r="I10">
        <v>1167.5210500000001</v>
      </c>
      <c r="J10" t="s">
        <v>34</v>
      </c>
      <c r="K10" t="s">
        <v>30</v>
      </c>
      <c r="L10">
        <v>0.99229961498074903</v>
      </c>
    </row>
    <row r="11" spans="1:12" x14ac:dyDescent="0.3">
      <c r="A11">
        <v>1278</v>
      </c>
      <c r="B11" t="s">
        <v>22</v>
      </c>
      <c r="C11" t="s">
        <v>27</v>
      </c>
      <c r="D11">
        <v>559</v>
      </c>
      <c r="E11">
        <v>1</v>
      </c>
      <c r="F11">
        <v>3</v>
      </c>
      <c r="G11">
        <v>2017</v>
      </c>
      <c r="H11">
        <v>1993070.3859999999</v>
      </c>
      <c r="I11">
        <v>6939.1977889999998</v>
      </c>
      <c r="J11" t="s">
        <v>29</v>
      </c>
      <c r="K11" t="s">
        <v>30</v>
      </c>
      <c r="L11">
        <v>0.99699984999249958</v>
      </c>
    </row>
    <row r="12" spans="1:12" x14ac:dyDescent="0.3">
      <c r="A12">
        <v>1318</v>
      </c>
      <c r="B12" t="s">
        <v>16</v>
      </c>
      <c r="C12" t="s">
        <v>17</v>
      </c>
      <c r="D12">
        <v>1887</v>
      </c>
      <c r="E12">
        <v>3</v>
      </c>
      <c r="F12">
        <v>3</v>
      </c>
      <c r="G12">
        <v>2004</v>
      </c>
      <c r="H12">
        <v>1990855.6850000001</v>
      </c>
      <c r="I12">
        <v>4162.1590169999999</v>
      </c>
      <c r="J12" t="s">
        <v>35</v>
      </c>
      <c r="K12" t="s">
        <v>15</v>
      </c>
      <c r="L12">
        <v>0.99569978498924949</v>
      </c>
    </row>
    <row r="13" spans="1:12" x14ac:dyDescent="0.3">
      <c r="A13">
        <v>1319</v>
      </c>
      <c r="B13" t="s">
        <v>31</v>
      </c>
      <c r="C13" t="s">
        <v>23</v>
      </c>
      <c r="D13">
        <v>4517</v>
      </c>
      <c r="E13">
        <v>5</v>
      </c>
      <c r="F13">
        <v>1</v>
      </c>
      <c r="G13">
        <v>1985</v>
      </c>
      <c r="H13">
        <v>1999612.5249999999</v>
      </c>
      <c r="I13">
        <v>7063.3649660000001</v>
      </c>
      <c r="J13" t="s">
        <v>25</v>
      </c>
      <c r="K13" t="s">
        <v>15</v>
      </c>
      <c r="L13">
        <v>0.99984999249962503</v>
      </c>
    </row>
    <row r="14" spans="1:12" x14ac:dyDescent="0.3">
      <c r="A14">
        <v>1679</v>
      </c>
      <c r="B14" t="s">
        <v>31</v>
      </c>
      <c r="C14" t="s">
        <v>23</v>
      </c>
      <c r="D14">
        <v>3897</v>
      </c>
      <c r="E14">
        <v>1</v>
      </c>
      <c r="F14">
        <v>3</v>
      </c>
      <c r="G14">
        <v>1986</v>
      </c>
      <c r="H14">
        <v>1982009.8810000001</v>
      </c>
      <c r="I14">
        <v>781.28120000000001</v>
      </c>
      <c r="J14" t="s">
        <v>36</v>
      </c>
      <c r="K14" t="s">
        <v>30</v>
      </c>
      <c r="L14">
        <v>0.99179958997949902</v>
      </c>
    </row>
    <row r="15" spans="1:12" x14ac:dyDescent="0.3">
      <c r="A15">
        <v>1743</v>
      </c>
      <c r="B15" t="s">
        <v>31</v>
      </c>
      <c r="C15" t="s">
        <v>33</v>
      </c>
      <c r="D15">
        <v>3697</v>
      </c>
      <c r="E15">
        <v>2</v>
      </c>
      <c r="F15">
        <v>2</v>
      </c>
      <c r="G15">
        <v>1972</v>
      </c>
      <c r="H15">
        <v>1997644.8629999999</v>
      </c>
      <c r="I15">
        <v>7977.3039470000003</v>
      </c>
      <c r="J15" t="s">
        <v>34</v>
      </c>
      <c r="K15" t="s">
        <v>15</v>
      </c>
      <c r="L15">
        <v>0.99869993499674981</v>
      </c>
    </row>
    <row r="16" spans="1:12" x14ac:dyDescent="0.3">
      <c r="A16">
        <v>2110</v>
      </c>
      <c r="B16" t="s">
        <v>31</v>
      </c>
      <c r="C16" t="s">
        <v>33</v>
      </c>
      <c r="D16">
        <v>3271</v>
      </c>
      <c r="E16">
        <v>2</v>
      </c>
      <c r="F16">
        <v>1</v>
      </c>
      <c r="G16">
        <v>1954</v>
      </c>
      <c r="H16">
        <v>1997940.878</v>
      </c>
      <c r="I16">
        <v>5094.0644229999998</v>
      </c>
      <c r="J16" t="s">
        <v>37</v>
      </c>
      <c r="K16" t="s">
        <v>30</v>
      </c>
      <c r="L16">
        <v>0.99894994749737487</v>
      </c>
    </row>
    <row r="17" spans="1:12" x14ac:dyDescent="0.3">
      <c r="A17">
        <v>2156</v>
      </c>
      <c r="B17" t="s">
        <v>16</v>
      </c>
      <c r="C17" t="s">
        <v>13</v>
      </c>
      <c r="D17">
        <v>3762</v>
      </c>
      <c r="E17">
        <v>4</v>
      </c>
      <c r="F17">
        <v>3</v>
      </c>
      <c r="G17">
        <v>1996</v>
      </c>
      <c r="H17">
        <v>1979365.568</v>
      </c>
      <c r="I17">
        <v>6568.1973029999999</v>
      </c>
      <c r="J17" t="s">
        <v>14</v>
      </c>
      <c r="K17" t="s">
        <v>30</v>
      </c>
      <c r="L17">
        <v>0.99074953747687389</v>
      </c>
    </row>
    <row r="18" spans="1:12" x14ac:dyDescent="0.3">
      <c r="A18">
        <v>2171</v>
      </c>
      <c r="B18" t="s">
        <v>22</v>
      </c>
      <c r="C18" t="s">
        <v>17</v>
      </c>
      <c r="D18">
        <v>1810</v>
      </c>
      <c r="E18">
        <v>2</v>
      </c>
      <c r="F18">
        <v>2</v>
      </c>
      <c r="G18">
        <v>2017</v>
      </c>
      <c r="H18">
        <v>1992078.432</v>
      </c>
      <c r="I18">
        <v>4825.946156</v>
      </c>
      <c r="J18" t="s">
        <v>35</v>
      </c>
      <c r="K18" t="s">
        <v>30</v>
      </c>
      <c r="L18">
        <v>0.99654982749137455</v>
      </c>
    </row>
    <row r="19" spans="1:12" x14ac:dyDescent="0.3">
      <c r="A19">
        <v>2199</v>
      </c>
      <c r="B19" t="s">
        <v>31</v>
      </c>
      <c r="C19" t="s">
        <v>13</v>
      </c>
      <c r="D19">
        <v>4167</v>
      </c>
      <c r="E19">
        <v>5</v>
      </c>
      <c r="F19">
        <v>2</v>
      </c>
      <c r="G19">
        <v>1991</v>
      </c>
      <c r="H19">
        <v>1994372.0589999999</v>
      </c>
      <c r="I19">
        <v>6751.1754540000002</v>
      </c>
      <c r="J19" t="s">
        <v>25</v>
      </c>
      <c r="K19" t="s">
        <v>30</v>
      </c>
      <c r="L19">
        <v>0.99729986499324963</v>
      </c>
    </row>
    <row r="20" spans="1:12" x14ac:dyDescent="0.3">
      <c r="A20">
        <v>2272</v>
      </c>
      <c r="B20" t="s">
        <v>12</v>
      </c>
      <c r="C20" t="s">
        <v>17</v>
      </c>
      <c r="D20">
        <v>3924</v>
      </c>
      <c r="E20">
        <v>1</v>
      </c>
      <c r="F20">
        <v>2</v>
      </c>
      <c r="G20">
        <v>1962</v>
      </c>
      <c r="H20">
        <v>1978635.9469999999</v>
      </c>
      <c r="I20">
        <v>3589.8320840000001</v>
      </c>
      <c r="J20" t="s">
        <v>35</v>
      </c>
      <c r="K20" t="s">
        <v>15</v>
      </c>
      <c r="L20">
        <v>0.99029951497574875</v>
      </c>
    </row>
    <row r="21" spans="1:12" x14ac:dyDescent="0.3">
      <c r="A21">
        <v>2389</v>
      </c>
      <c r="B21" t="s">
        <v>22</v>
      </c>
      <c r="C21" t="s">
        <v>27</v>
      </c>
      <c r="D21">
        <v>4102</v>
      </c>
      <c r="E21">
        <v>4</v>
      </c>
      <c r="F21">
        <v>3</v>
      </c>
      <c r="G21">
        <v>1995</v>
      </c>
      <c r="H21">
        <v>1983259.8770000001</v>
      </c>
      <c r="I21">
        <v>683.17826700000001</v>
      </c>
      <c r="J21" t="s">
        <v>25</v>
      </c>
      <c r="K21" t="s">
        <v>15</v>
      </c>
      <c r="L21">
        <v>0.99234961748087402</v>
      </c>
    </row>
    <row r="22" spans="1:12" x14ac:dyDescent="0.3">
      <c r="A22">
        <v>2434</v>
      </c>
      <c r="B22" t="s">
        <v>22</v>
      </c>
      <c r="C22" t="s">
        <v>20</v>
      </c>
      <c r="D22">
        <v>2207</v>
      </c>
      <c r="E22">
        <v>1</v>
      </c>
      <c r="F22">
        <v>1</v>
      </c>
      <c r="G22">
        <v>1954</v>
      </c>
      <c r="H22">
        <v>1983333.8119999999</v>
      </c>
      <c r="I22">
        <v>958.89822760000004</v>
      </c>
      <c r="J22" t="s">
        <v>38</v>
      </c>
      <c r="K22" t="s">
        <v>30</v>
      </c>
      <c r="L22">
        <v>0.99244962248112401</v>
      </c>
    </row>
    <row r="23" spans="1:12" x14ac:dyDescent="0.3">
      <c r="A23">
        <v>2484</v>
      </c>
      <c r="B23" t="s">
        <v>16</v>
      </c>
      <c r="C23" t="s">
        <v>33</v>
      </c>
      <c r="D23">
        <v>530</v>
      </c>
      <c r="E23">
        <v>3</v>
      </c>
      <c r="F23">
        <v>3</v>
      </c>
      <c r="G23">
        <v>1988</v>
      </c>
      <c r="H23">
        <v>1983272.2279999999</v>
      </c>
      <c r="I23">
        <v>4861.3956589999998</v>
      </c>
      <c r="J23" t="s">
        <v>39</v>
      </c>
      <c r="K23" t="s">
        <v>15</v>
      </c>
      <c r="L23">
        <v>0.99239961998099901</v>
      </c>
    </row>
    <row r="24" spans="1:12" x14ac:dyDescent="0.3">
      <c r="A24">
        <v>2654</v>
      </c>
      <c r="B24" t="s">
        <v>12</v>
      </c>
      <c r="C24" t="s">
        <v>27</v>
      </c>
      <c r="D24">
        <v>1911</v>
      </c>
      <c r="E24">
        <v>2</v>
      </c>
      <c r="F24">
        <v>2</v>
      </c>
      <c r="G24">
        <v>1988</v>
      </c>
      <c r="H24">
        <v>1979771.656</v>
      </c>
      <c r="I24">
        <v>4727.4673650000004</v>
      </c>
      <c r="J24" t="s">
        <v>28</v>
      </c>
      <c r="K24" t="s">
        <v>30</v>
      </c>
      <c r="L24">
        <v>0.99104955247762383</v>
      </c>
    </row>
    <row r="25" spans="1:12" x14ac:dyDescent="0.3">
      <c r="A25">
        <v>2657</v>
      </c>
      <c r="B25" t="s">
        <v>19</v>
      </c>
      <c r="C25" t="s">
        <v>13</v>
      </c>
      <c r="D25">
        <v>2253</v>
      </c>
      <c r="E25">
        <v>2</v>
      </c>
      <c r="F25">
        <v>1</v>
      </c>
      <c r="G25">
        <v>1987</v>
      </c>
      <c r="H25">
        <v>1999130.99</v>
      </c>
      <c r="I25">
        <v>845.87095810000005</v>
      </c>
      <c r="J25" t="s">
        <v>14</v>
      </c>
      <c r="K25" t="s">
        <v>15</v>
      </c>
      <c r="L25">
        <v>0.99954997749887498</v>
      </c>
    </row>
    <row r="26" spans="1:12" x14ac:dyDescent="0.3">
      <c r="A26">
        <v>2698</v>
      </c>
      <c r="B26" t="s">
        <v>16</v>
      </c>
      <c r="C26" t="s">
        <v>17</v>
      </c>
      <c r="D26">
        <v>3749</v>
      </c>
      <c r="E26">
        <v>2</v>
      </c>
      <c r="F26">
        <v>3</v>
      </c>
      <c r="G26">
        <v>2010</v>
      </c>
      <c r="H26">
        <v>1988787.274</v>
      </c>
      <c r="I26">
        <v>3435.470746</v>
      </c>
      <c r="J26" t="s">
        <v>40</v>
      </c>
      <c r="K26" t="s">
        <v>15</v>
      </c>
      <c r="L26">
        <v>0.99514975748787438</v>
      </c>
    </row>
    <row r="27" spans="1:12" x14ac:dyDescent="0.3">
      <c r="A27">
        <v>2820</v>
      </c>
      <c r="B27" t="s">
        <v>31</v>
      </c>
      <c r="C27" t="s">
        <v>17</v>
      </c>
      <c r="D27">
        <v>3780</v>
      </c>
      <c r="E27">
        <v>3</v>
      </c>
      <c r="F27">
        <v>1</v>
      </c>
      <c r="G27">
        <v>2000</v>
      </c>
      <c r="H27">
        <v>1999144.902</v>
      </c>
      <c r="I27">
        <v>3886.2811849999998</v>
      </c>
      <c r="J27" t="s">
        <v>40</v>
      </c>
      <c r="K27" t="s">
        <v>30</v>
      </c>
      <c r="L27">
        <v>0.99959997999899997</v>
      </c>
    </row>
    <row r="28" spans="1:12" x14ac:dyDescent="0.3">
      <c r="A28">
        <v>2837</v>
      </c>
      <c r="B28" t="s">
        <v>19</v>
      </c>
      <c r="C28" t="s">
        <v>13</v>
      </c>
      <c r="D28">
        <v>4009</v>
      </c>
      <c r="E28">
        <v>2</v>
      </c>
      <c r="F28">
        <v>1</v>
      </c>
      <c r="G28">
        <v>1970</v>
      </c>
      <c r="H28">
        <v>1994386.3929999999</v>
      </c>
      <c r="I28">
        <v>2602.820138</v>
      </c>
      <c r="J28" t="s">
        <v>25</v>
      </c>
      <c r="K28" t="s">
        <v>30</v>
      </c>
      <c r="L28">
        <v>0.99734986749337462</v>
      </c>
    </row>
    <row r="29" spans="1:12" x14ac:dyDescent="0.3">
      <c r="A29">
        <v>2842</v>
      </c>
      <c r="B29" t="s">
        <v>12</v>
      </c>
      <c r="C29" t="s">
        <v>27</v>
      </c>
      <c r="D29">
        <v>4263</v>
      </c>
      <c r="E29">
        <v>4</v>
      </c>
      <c r="F29">
        <v>1</v>
      </c>
      <c r="G29">
        <v>1987</v>
      </c>
      <c r="H29">
        <v>1993595.0859999999</v>
      </c>
      <c r="I29">
        <v>6899.9252370000004</v>
      </c>
      <c r="J29" t="s">
        <v>28</v>
      </c>
      <c r="K29" t="s">
        <v>30</v>
      </c>
      <c r="L29">
        <v>0.99709985499274967</v>
      </c>
    </row>
    <row r="30" spans="1:12" x14ac:dyDescent="0.3">
      <c r="A30">
        <v>3059</v>
      </c>
      <c r="B30" t="s">
        <v>22</v>
      </c>
      <c r="C30" t="s">
        <v>20</v>
      </c>
      <c r="D30">
        <v>4504</v>
      </c>
      <c r="E30">
        <v>5</v>
      </c>
      <c r="F30">
        <v>2</v>
      </c>
      <c r="G30">
        <v>2020</v>
      </c>
      <c r="H30">
        <v>1988758.358</v>
      </c>
      <c r="I30">
        <v>7152.3960360000001</v>
      </c>
      <c r="J30" t="s">
        <v>38</v>
      </c>
      <c r="K30" t="s">
        <v>26</v>
      </c>
      <c r="L30">
        <v>0.99509975498774939</v>
      </c>
    </row>
    <row r="31" spans="1:12" x14ac:dyDescent="0.3">
      <c r="A31">
        <v>3226</v>
      </c>
      <c r="B31" t="s">
        <v>16</v>
      </c>
      <c r="C31" t="s">
        <v>20</v>
      </c>
      <c r="D31">
        <v>1118</v>
      </c>
      <c r="E31">
        <v>3</v>
      </c>
      <c r="F31">
        <v>2</v>
      </c>
      <c r="G31">
        <v>1971</v>
      </c>
      <c r="H31">
        <v>1991422.7339999999</v>
      </c>
      <c r="I31">
        <v>6748.0815160000002</v>
      </c>
      <c r="J31" t="s">
        <v>21</v>
      </c>
      <c r="K31" t="s">
        <v>15</v>
      </c>
      <c r="L31">
        <v>0.99614980749037452</v>
      </c>
    </row>
    <row r="32" spans="1:12" x14ac:dyDescent="0.3">
      <c r="A32">
        <v>3244</v>
      </c>
      <c r="B32" t="s">
        <v>31</v>
      </c>
      <c r="C32" t="s">
        <v>33</v>
      </c>
      <c r="D32">
        <v>3809</v>
      </c>
      <c r="E32">
        <v>1</v>
      </c>
      <c r="F32">
        <v>3</v>
      </c>
      <c r="G32">
        <v>1965</v>
      </c>
      <c r="H32">
        <v>1983334.2549999999</v>
      </c>
      <c r="I32">
        <v>1551.385526</v>
      </c>
      <c r="J32" t="s">
        <v>39</v>
      </c>
      <c r="K32" t="s">
        <v>30</v>
      </c>
      <c r="L32">
        <v>0.99249962498124911</v>
      </c>
    </row>
    <row r="33" spans="1:12" x14ac:dyDescent="0.3">
      <c r="A33">
        <v>3255</v>
      </c>
      <c r="B33" t="s">
        <v>16</v>
      </c>
      <c r="C33" t="s">
        <v>33</v>
      </c>
      <c r="D33">
        <v>715</v>
      </c>
      <c r="E33">
        <v>5</v>
      </c>
      <c r="F33">
        <v>2</v>
      </c>
      <c r="G33">
        <v>1971</v>
      </c>
      <c r="H33">
        <v>1982069.1440000001</v>
      </c>
      <c r="I33">
        <v>2165.9345189999999</v>
      </c>
      <c r="J33" t="s">
        <v>39</v>
      </c>
      <c r="K33" t="s">
        <v>30</v>
      </c>
      <c r="L33">
        <v>0.991899594979749</v>
      </c>
    </row>
    <row r="34" spans="1:12" x14ac:dyDescent="0.3">
      <c r="A34">
        <v>3318</v>
      </c>
      <c r="B34" t="s">
        <v>31</v>
      </c>
      <c r="C34" t="s">
        <v>17</v>
      </c>
      <c r="D34">
        <v>899</v>
      </c>
      <c r="E34">
        <v>3</v>
      </c>
      <c r="F34">
        <v>1</v>
      </c>
      <c r="G34">
        <v>1954</v>
      </c>
      <c r="H34">
        <v>1981581.8910000001</v>
      </c>
      <c r="I34">
        <v>5250.0683559999998</v>
      </c>
      <c r="J34" t="s">
        <v>40</v>
      </c>
      <c r="K34" t="s">
        <v>15</v>
      </c>
      <c r="L34">
        <v>0.99169958497924893</v>
      </c>
    </row>
    <row r="35" spans="1:12" x14ac:dyDescent="0.3">
      <c r="A35">
        <v>3393</v>
      </c>
      <c r="B35" t="s">
        <v>31</v>
      </c>
      <c r="C35" t="s">
        <v>27</v>
      </c>
      <c r="D35">
        <v>3208</v>
      </c>
      <c r="E35">
        <v>3</v>
      </c>
      <c r="F35">
        <v>1</v>
      </c>
      <c r="G35">
        <v>1971</v>
      </c>
      <c r="H35">
        <v>1997244.074</v>
      </c>
      <c r="I35">
        <v>748.15756529999999</v>
      </c>
      <c r="J35" t="s">
        <v>25</v>
      </c>
      <c r="K35" t="s">
        <v>30</v>
      </c>
      <c r="L35">
        <v>0.99844992249612485</v>
      </c>
    </row>
    <row r="36" spans="1:12" x14ac:dyDescent="0.3">
      <c r="A36">
        <v>3428</v>
      </c>
      <c r="B36" t="s">
        <v>12</v>
      </c>
      <c r="C36" t="s">
        <v>20</v>
      </c>
      <c r="D36">
        <v>3989</v>
      </c>
      <c r="E36">
        <v>3</v>
      </c>
      <c r="F36">
        <v>3</v>
      </c>
      <c r="G36">
        <v>1962</v>
      </c>
      <c r="H36">
        <v>1979603.047</v>
      </c>
      <c r="I36">
        <v>7217.423554</v>
      </c>
      <c r="J36" t="s">
        <v>38</v>
      </c>
      <c r="K36" t="s">
        <v>30</v>
      </c>
      <c r="L36">
        <v>0.99094954747737385</v>
      </c>
    </row>
    <row r="37" spans="1:12" x14ac:dyDescent="0.3">
      <c r="A37">
        <v>3484</v>
      </c>
      <c r="B37" t="s">
        <v>12</v>
      </c>
      <c r="C37" t="s">
        <v>20</v>
      </c>
      <c r="D37">
        <v>1209</v>
      </c>
      <c r="E37">
        <v>1</v>
      </c>
      <c r="F37">
        <v>2</v>
      </c>
      <c r="G37">
        <v>2016</v>
      </c>
      <c r="H37">
        <v>1987269.7649999999</v>
      </c>
      <c r="I37">
        <v>4142.0369570000003</v>
      </c>
      <c r="J37" t="s">
        <v>41</v>
      </c>
      <c r="K37" t="s">
        <v>30</v>
      </c>
      <c r="L37">
        <v>0.99444972248612429</v>
      </c>
    </row>
    <row r="38" spans="1:12" x14ac:dyDescent="0.3">
      <c r="A38">
        <v>3526</v>
      </c>
      <c r="B38" t="s">
        <v>12</v>
      </c>
      <c r="C38" t="s">
        <v>20</v>
      </c>
      <c r="D38">
        <v>3078</v>
      </c>
      <c r="E38">
        <v>1</v>
      </c>
      <c r="F38">
        <v>1</v>
      </c>
      <c r="G38">
        <v>2015</v>
      </c>
      <c r="H38">
        <v>1986173.7890000001</v>
      </c>
      <c r="I38">
        <v>6739.0144550000005</v>
      </c>
      <c r="J38" t="s">
        <v>21</v>
      </c>
      <c r="K38" t="s">
        <v>15</v>
      </c>
      <c r="L38">
        <v>0.99384969248462418</v>
      </c>
    </row>
    <row r="39" spans="1:12" x14ac:dyDescent="0.3">
      <c r="A39">
        <v>3650</v>
      </c>
      <c r="B39" t="s">
        <v>19</v>
      </c>
      <c r="C39" t="s">
        <v>33</v>
      </c>
      <c r="D39">
        <v>4839</v>
      </c>
      <c r="E39">
        <v>2</v>
      </c>
      <c r="F39">
        <v>1</v>
      </c>
      <c r="G39">
        <v>1972</v>
      </c>
      <c r="H39">
        <v>1979884.737</v>
      </c>
      <c r="I39">
        <v>952.93049029999997</v>
      </c>
      <c r="J39" t="s">
        <v>34</v>
      </c>
      <c r="K39" t="s">
        <v>15</v>
      </c>
      <c r="L39">
        <v>0.99114955747787392</v>
      </c>
    </row>
    <row r="40" spans="1:12" x14ac:dyDescent="0.3">
      <c r="A40">
        <v>3731</v>
      </c>
      <c r="B40" t="s">
        <v>31</v>
      </c>
      <c r="C40" t="s">
        <v>23</v>
      </c>
      <c r="D40">
        <v>4977</v>
      </c>
      <c r="E40">
        <v>5</v>
      </c>
      <c r="F40">
        <v>2</v>
      </c>
      <c r="G40">
        <v>1990</v>
      </c>
      <c r="H40">
        <v>1992072.6510000001</v>
      </c>
      <c r="I40">
        <v>6710.236519</v>
      </c>
      <c r="J40" t="s">
        <v>24</v>
      </c>
      <c r="K40" t="s">
        <v>30</v>
      </c>
      <c r="L40">
        <v>0.99649982499124956</v>
      </c>
    </row>
    <row r="41" spans="1:12" x14ac:dyDescent="0.3">
      <c r="A41">
        <v>3924</v>
      </c>
      <c r="B41" t="s">
        <v>22</v>
      </c>
      <c r="C41" t="s">
        <v>33</v>
      </c>
      <c r="D41">
        <v>4839</v>
      </c>
      <c r="E41">
        <v>4</v>
      </c>
      <c r="F41">
        <v>3</v>
      </c>
      <c r="G41">
        <v>1990</v>
      </c>
      <c r="H41">
        <v>1985488.2250000001</v>
      </c>
      <c r="I41">
        <v>7244.1249529999996</v>
      </c>
      <c r="J41" t="s">
        <v>39</v>
      </c>
      <c r="K41" t="s">
        <v>30</v>
      </c>
      <c r="L41">
        <v>0.99329966498324918</v>
      </c>
    </row>
    <row r="42" spans="1:12" x14ac:dyDescent="0.3">
      <c r="A42">
        <v>4014</v>
      </c>
      <c r="B42" t="s">
        <v>12</v>
      </c>
      <c r="C42" t="s">
        <v>27</v>
      </c>
      <c r="D42">
        <v>2513</v>
      </c>
      <c r="E42">
        <v>4</v>
      </c>
      <c r="F42">
        <v>1</v>
      </c>
      <c r="G42">
        <v>1999</v>
      </c>
      <c r="H42">
        <v>1987951.304</v>
      </c>
      <c r="I42">
        <v>3981.7472229999998</v>
      </c>
      <c r="J42" t="s">
        <v>25</v>
      </c>
      <c r="K42" t="s">
        <v>30</v>
      </c>
      <c r="L42">
        <v>0.99459972998649937</v>
      </c>
    </row>
    <row r="43" spans="1:12" x14ac:dyDescent="0.3">
      <c r="A43">
        <v>4139</v>
      </c>
      <c r="B43" t="s">
        <v>22</v>
      </c>
      <c r="C43" t="s">
        <v>33</v>
      </c>
      <c r="D43">
        <v>774</v>
      </c>
      <c r="E43">
        <v>5</v>
      </c>
      <c r="F43">
        <v>2</v>
      </c>
      <c r="G43">
        <v>1985</v>
      </c>
      <c r="H43">
        <v>1983461.709</v>
      </c>
      <c r="I43">
        <v>3266.64012</v>
      </c>
      <c r="J43" t="s">
        <v>42</v>
      </c>
      <c r="K43" t="s">
        <v>30</v>
      </c>
      <c r="L43">
        <v>0.9925496274813741</v>
      </c>
    </row>
    <row r="44" spans="1:12" x14ac:dyDescent="0.3">
      <c r="A44">
        <v>4146</v>
      </c>
      <c r="B44" t="s">
        <v>16</v>
      </c>
      <c r="C44" t="s">
        <v>23</v>
      </c>
      <c r="D44">
        <v>916</v>
      </c>
      <c r="E44">
        <v>5</v>
      </c>
      <c r="F44">
        <v>3</v>
      </c>
      <c r="G44">
        <v>2015</v>
      </c>
      <c r="H44">
        <v>1981432.4450000001</v>
      </c>
      <c r="I44">
        <v>1249.485512</v>
      </c>
      <c r="J44" t="s">
        <v>36</v>
      </c>
      <c r="K44" t="s">
        <v>15</v>
      </c>
      <c r="L44">
        <v>0.99159957997899895</v>
      </c>
    </row>
    <row r="45" spans="1:12" x14ac:dyDescent="0.3">
      <c r="A45">
        <v>4306</v>
      </c>
      <c r="B45" t="s">
        <v>16</v>
      </c>
      <c r="C45" t="s">
        <v>13</v>
      </c>
      <c r="D45">
        <v>3716</v>
      </c>
      <c r="E45">
        <v>2</v>
      </c>
      <c r="F45">
        <v>3</v>
      </c>
      <c r="G45">
        <v>2009</v>
      </c>
      <c r="H45">
        <v>1990964.6680000001</v>
      </c>
      <c r="I45">
        <v>1186.89167</v>
      </c>
      <c r="J45" t="s">
        <v>14</v>
      </c>
      <c r="K45" t="s">
        <v>30</v>
      </c>
      <c r="L45">
        <v>0.99574978748937448</v>
      </c>
    </row>
    <row r="46" spans="1:12" x14ac:dyDescent="0.3">
      <c r="A46">
        <v>4408</v>
      </c>
      <c r="B46" t="s">
        <v>16</v>
      </c>
      <c r="C46" t="s">
        <v>27</v>
      </c>
      <c r="D46">
        <v>4739</v>
      </c>
      <c r="E46">
        <v>5</v>
      </c>
      <c r="F46">
        <v>2</v>
      </c>
      <c r="G46">
        <v>2007</v>
      </c>
      <c r="H46">
        <v>1998835.4010000001</v>
      </c>
      <c r="I46">
        <v>6326.1342949999998</v>
      </c>
      <c r="J46" t="s">
        <v>28</v>
      </c>
      <c r="K46" t="s">
        <v>15</v>
      </c>
      <c r="L46">
        <v>0.99924996249812492</v>
      </c>
    </row>
    <row r="47" spans="1:12" x14ac:dyDescent="0.3">
      <c r="A47">
        <v>4473</v>
      </c>
      <c r="B47" t="s">
        <v>12</v>
      </c>
      <c r="C47" t="s">
        <v>27</v>
      </c>
      <c r="D47">
        <v>4159</v>
      </c>
      <c r="E47">
        <v>1</v>
      </c>
      <c r="F47">
        <v>1</v>
      </c>
      <c r="G47">
        <v>2013</v>
      </c>
      <c r="H47">
        <v>1997493.7949999999</v>
      </c>
      <c r="I47">
        <v>3937.1527759999999</v>
      </c>
      <c r="J47" t="s">
        <v>29</v>
      </c>
      <c r="K47" t="s">
        <v>15</v>
      </c>
      <c r="L47">
        <v>0.99864993249662481</v>
      </c>
    </row>
    <row r="48" spans="1:12" x14ac:dyDescent="0.3">
      <c r="A48">
        <v>4477</v>
      </c>
      <c r="B48" t="s">
        <v>22</v>
      </c>
      <c r="C48" t="s">
        <v>33</v>
      </c>
      <c r="D48">
        <v>1198</v>
      </c>
      <c r="E48">
        <v>3</v>
      </c>
      <c r="F48">
        <v>3</v>
      </c>
      <c r="G48">
        <v>1960</v>
      </c>
      <c r="H48">
        <v>1991526.273</v>
      </c>
      <c r="I48">
        <v>1114.4058910000001</v>
      </c>
      <c r="J48" t="s">
        <v>34</v>
      </c>
      <c r="K48" t="s">
        <v>15</v>
      </c>
      <c r="L48">
        <v>0.9962498124906245</v>
      </c>
    </row>
    <row r="49" spans="1:12" x14ac:dyDescent="0.3">
      <c r="A49">
        <v>4480</v>
      </c>
      <c r="B49" t="s">
        <v>31</v>
      </c>
      <c r="C49" t="s">
        <v>23</v>
      </c>
      <c r="D49">
        <v>2653</v>
      </c>
      <c r="E49">
        <v>5</v>
      </c>
      <c r="F49">
        <v>2</v>
      </c>
      <c r="G49">
        <v>2012</v>
      </c>
      <c r="H49">
        <v>1989568.5560000001</v>
      </c>
      <c r="I49">
        <v>4581.0129159999997</v>
      </c>
      <c r="J49" t="s">
        <v>24</v>
      </c>
      <c r="K49" t="s">
        <v>15</v>
      </c>
      <c r="L49">
        <v>0.99529976498824946</v>
      </c>
    </row>
    <row r="50" spans="1:12" x14ac:dyDescent="0.3">
      <c r="A50">
        <v>4618</v>
      </c>
      <c r="B50" t="s">
        <v>12</v>
      </c>
      <c r="C50" t="s">
        <v>13</v>
      </c>
      <c r="D50">
        <v>4909</v>
      </c>
      <c r="E50">
        <v>5</v>
      </c>
      <c r="F50">
        <v>1</v>
      </c>
      <c r="G50">
        <v>1989</v>
      </c>
      <c r="H50">
        <v>1998889.689</v>
      </c>
      <c r="I50">
        <v>2308.6572019999999</v>
      </c>
      <c r="J50" t="s">
        <v>25</v>
      </c>
      <c r="K50" t="s">
        <v>30</v>
      </c>
      <c r="L50">
        <v>0.9993499674983749</v>
      </c>
    </row>
    <row r="51" spans="1:12" x14ac:dyDescent="0.3">
      <c r="A51">
        <v>4728</v>
      </c>
      <c r="B51" t="s">
        <v>22</v>
      </c>
      <c r="C51" t="s">
        <v>27</v>
      </c>
      <c r="D51">
        <v>2986</v>
      </c>
      <c r="E51">
        <v>5</v>
      </c>
      <c r="F51">
        <v>2</v>
      </c>
      <c r="G51">
        <v>1999</v>
      </c>
      <c r="H51">
        <v>1985593.334</v>
      </c>
      <c r="I51">
        <v>5958.0222839999997</v>
      </c>
      <c r="J51" t="s">
        <v>29</v>
      </c>
      <c r="K51" t="s">
        <v>30</v>
      </c>
      <c r="L51">
        <v>0.99334966748337417</v>
      </c>
    </row>
    <row r="52" spans="1:12" x14ac:dyDescent="0.3">
      <c r="A52">
        <v>4752</v>
      </c>
      <c r="B52" t="s">
        <v>12</v>
      </c>
      <c r="C52" t="s">
        <v>23</v>
      </c>
      <c r="D52">
        <v>654</v>
      </c>
      <c r="E52">
        <v>1</v>
      </c>
      <c r="F52">
        <v>1</v>
      </c>
      <c r="G52">
        <v>1980</v>
      </c>
      <c r="H52">
        <v>1996931.46</v>
      </c>
      <c r="I52">
        <v>2832.5436300000001</v>
      </c>
      <c r="J52" t="s">
        <v>36</v>
      </c>
      <c r="K52" t="s">
        <v>15</v>
      </c>
      <c r="L52">
        <v>0.99829991499574977</v>
      </c>
    </row>
    <row r="53" spans="1:12" x14ac:dyDescent="0.3">
      <c r="A53">
        <v>4757</v>
      </c>
      <c r="B53" t="s">
        <v>16</v>
      </c>
      <c r="C53" t="s">
        <v>27</v>
      </c>
      <c r="D53">
        <v>1963</v>
      </c>
      <c r="E53">
        <v>4</v>
      </c>
      <c r="F53">
        <v>3</v>
      </c>
      <c r="G53">
        <v>2010</v>
      </c>
      <c r="H53">
        <v>1986712.0660000001</v>
      </c>
      <c r="I53">
        <v>7714.7787349999999</v>
      </c>
      <c r="J53" t="s">
        <v>29</v>
      </c>
      <c r="K53" t="s">
        <v>15</v>
      </c>
      <c r="L53">
        <v>0.99404970248512425</v>
      </c>
    </row>
    <row r="54" spans="1:12" x14ac:dyDescent="0.3">
      <c r="A54">
        <v>4894</v>
      </c>
      <c r="B54" t="s">
        <v>12</v>
      </c>
      <c r="C54" t="s">
        <v>20</v>
      </c>
      <c r="D54">
        <v>1603</v>
      </c>
      <c r="E54">
        <v>2</v>
      </c>
      <c r="F54">
        <v>3</v>
      </c>
      <c r="G54">
        <v>2006</v>
      </c>
      <c r="H54">
        <v>1998537.3119999999</v>
      </c>
      <c r="I54">
        <v>3708.9165750000002</v>
      </c>
      <c r="J54" t="s">
        <v>21</v>
      </c>
      <c r="K54" t="s">
        <v>30</v>
      </c>
      <c r="L54">
        <v>0.99919995999799993</v>
      </c>
    </row>
    <row r="55" spans="1:12" x14ac:dyDescent="0.3">
      <c r="A55">
        <v>5292</v>
      </c>
      <c r="B55" t="s">
        <v>31</v>
      </c>
      <c r="C55" t="s">
        <v>17</v>
      </c>
      <c r="D55">
        <v>680</v>
      </c>
      <c r="E55">
        <v>4</v>
      </c>
      <c r="F55">
        <v>2</v>
      </c>
      <c r="G55">
        <v>1993</v>
      </c>
      <c r="H55">
        <v>1987183.757</v>
      </c>
      <c r="I55">
        <v>3642.4394069999998</v>
      </c>
      <c r="J55" t="s">
        <v>18</v>
      </c>
      <c r="K55" t="s">
        <v>26</v>
      </c>
      <c r="L55">
        <v>0.99434971748587431</v>
      </c>
    </row>
    <row r="56" spans="1:12" x14ac:dyDescent="0.3">
      <c r="A56">
        <v>5683</v>
      </c>
      <c r="B56" t="s">
        <v>12</v>
      </c>
      <c r="C56" t="s">
        <v>13</v>
      </c>
      <c r="D56">
        <v>937</v>
      </c>
      <c r="E56">
        <v>4</v>
      </c>
      <c r="F56">
        <v>3</v>
      </c>
      <c r="G56">
        <v>1984</v>
      </c>
      <c r="H56">
        <v>1983868.5719999999</v>
      </c>
      <c r="I56">
        <v>594.24326429999996</v>
      </c>
      <c r="J56" t="s">
        <v>14</v>
      </c>
      <c r="K56" t="s">
        <v>15</v>
      </c>
      <c r="L56">
        <v>0.99264963248162408</v>
      </c>
    </row>
    <row r="57" spans="1:12" x14ac:dyDescent="0.3">
      <c r="A57">
        <v>5788</v>
      </c>
      <c r="B57" t="s">
        <v>19</v>
      </c>
      <c r="C57" t="s">
        <v>23</v>
      </c>
      <c r="D57">
        <v>2653</v>
      </c>
      <c r="E57">
        <v>1</v>
      </c>
      <c r="F57">
        <v>2</v>
      </c>
      <c r="G57">
        <v>1994</v>
      </c>
      <c r="H57">
        <v>1985218.0160000001</v>
      </c>
      <c r="I57">
        <v>5163.7311810000001</v>
      </c>
      <c r="J57" t="s">
        <v>36</v>
      </c>
      <c r="K57" t="s">
        <v>15</v>
      </c>
      <c r="L57">
        <v>0.99319965998299919</v>
      </c>
    </row>
    <row r="58" spans="1:12" x14ac:dyDescent="0.3">
      <c r="A58">
        <v>5988</v>
      </c>
      <c r="B58" t="s">
        <v>16</v>
      </c>
      <c r="C58" t="s">
        <v>13</v>
      </c>
      <c r="D58">
        <v>2962</v>
      </c>
      <c r="E58">
        <v>3</v>
      </c>
      <c r="F58">
        <v>3</v>
      </c>
      <c r="G58">
        <v>1973</v>
      </c>
      <c r="H58">
        <v>1991380.206</v>
      </c>
      <c r="I58">
        <v>2987.9295940000002</v>
      </c>
      <c r="J58" t="s">
        <v>25</v>
      </c>
      <c r="K58" t="s">
        <v>30</v>
      </c>
      <c r="L58">
        <v>0.99604980249012454</v>
      </c>
    </row>
    <row r="59" spans="1:12" x14ac:dyDescent="0.3">
      <c r="A59">
        <v>5992</v>
      </c>
      <c r="B59" t="s">
        <v>12</v>
      </c>
      <c r="C59" t="s">
        <v>27</v>
      </c>
      <c r="D59">
        <v>4942</v>
      </c>
      <c r="E59">
        <v>2</v>
      </c>
      <c r="F59">
        <v>1</v>
      </c>
      <c r="G59">
        <v>1959</v>
      </c>
      <c r="H59">
        <v>1996408.2450000001</v>
      </c>
      <c r="I59">
        <v>5104.8047790000001</v>
      </c>
      <c r="J59" t="s">
        <v>25</v>
      </c>
      <c r="K59" t="s">
        <v>30</v>
      </c>
      <c r="L59">
        <v>0.99804990249512471</v>
      </c>
    </row>
    <row r="60" spans="1:12" x14ac:dyDescent="0.3">
      <c r="A60">
        <v>6084</v>
      </c>
      <c r="B60" t="s">
        <v>31</v>
      </c>
      <c r="C60" t="s">
        <v>17</v>
      </c>
      <c r="D60">
        <v>1472</v>
      </c>
      <c r="E60">
        <v>5</v>
      </c>
      <c r="F60">
        <v>2</v>
      </c>
      <c r="G60">
        <v>1980</v>
      </c>
      <c r="H60">
        <v>1987334.4339999999</v>
      </c>
      <c r="I60">
        <v>3808.4454930000002</v>
      </c>
      <c r="J60" t="s">
        <v>18</v>
      </c>
      <c r="K60" t="s">
        <v>30</v>
      </c>
      <c r="L60">
        <v>0.99454972748637427</v>
      </c>
    </row>
    <row r="61" spans="1:12" x14ac:dyDescent="0.3">
      <c r="A61">
        <v>6339</v>
      </c>
      <c r="B61" t="s">
        <v>31</v>
      </c>
      <c r="C61" t="s">
        <v>13</v>
      </c>
      <c r="D61">
        <v>2488</v>
      </c>
      <c r="E61">
        <v>5</v>
      </c>
      <c r="F61">
        <v>2</v>
      </c>
      <c r="G61">
        <v>1976</v>
      </c>
      <c r="H61">
        <v>1979714.2439999999</v>
      </c>
      <c r="I61">
        <v>4588.9914550000003</v>
      </c>
      <c r="J61" t="s">
        <v>32</v>
      </c>
      <c r="K61" t="s">
        <v>30</v>
      </c>
      <c r="L61">
        <v>0.99099954997749884</v>
      </c>
    </row>
    <row r="62" spans="1:12" x14ac:dyDescent="0.3">
      <c r="A62">
        <v>6347</v>
      </c>
      <c r="B62" t="s">
        <v>16</v>
      </c>
      <c r="C62" t="s">
        <v>23</v>
      </c>
      <c r="D62">
        <v>1154</v>
      </c>
      <c r="E62">
        <v>5</v>
      </c>
      <c r="F62">
        <v>3</v>
      </c>
      <c r="G62">
        <v>1982</v>
      </c>
      <c r="H62">
        <v>1998915.446</v>
      </c>
      <c r="I62">
        <v>2866.538082</v>
      </c>
      <c r="J62" t="s">
        <v>36</v>
      </c>
      <c r="K62" t="s">
        <v>30</v>
      </c>
      <c r="L62">
        <v>0.99939996999849989</v>
      </c>
    </row>
    <row r="63" spans="1:12" x14ac:dyDescent="0.3">
      <c r="A63">
        <v>6382</v>
      </c>
      <c r="B63" t="s">
        <v>31</v>
      </c>
      <c r="C63" t="s">
        <v>23</v>
      </c>
      <c r="D63">
        <v>2215</v>
      </c>
      <c r="E63">
        <v>2</v>
      </c>
      <c r="F63">
        <v>3</v>
      </c>
      <c r="G63">
        <v>1987</v>
      </c>
      <c r="H63">
        <v>1985040.9140000001</v>
      </c>
      <c r="I63">
        <v>7100.0646390000002</v>
      </c>
      <c r="J63" t="s">
        <v>25</v>
      </c>
      <c r="K63" t="s">
        <v>26</v>
      </c>
      <c r="L63">
        <v>0.99299964998249912</v>
      </c>
    </row>
    <row r="64" spans="1:12" x14ac:dyDescent="0.3">
      <c r="A64">
        <v>6494</v>
      </c>
      <c r="B64" t="s">
        <v>31</v>
      </c>
      <c r="C64" t="s">
        <v>27</v>
      </c>
      <c r="D64">
        <v>4281</v>
      </c>
      <c r="E64">
        <v>3</v>
      </c>
      <c r="F64">
        <v>1</v>
      </c>
      <c r="G64">
        <v>1971</v>
      </c>
      <c r="H64">
        <v>1991459.2720000001</v>
      </c>
      <c r="I64">
        <v>6480.8948209999999</v>
      </c>
      <c r="J64" t="s">
        <v>28</v>
      </c>
      <c r="K64" t="s">
        <v>30</v>
      </c>
      <c r="L64">
        <v>0.99619980999049951</v>
      </c>
    </row>
    <row r="65" spans="1:12" x14ac:dyDescent="0.3">
      <c r="A65">
        <v>6745</v>
      </c>
      <c r="B65" t="s">
        <v>31</v>
      </c>
      <c r="C65" t="s">
        <v>27</v>
      </c>
      <c r="D65">
        <v>1222</v>
      </c>
      <c r="E65">
        <v>4</v>
      </c>
      <c r="F65">
        <v>2</v>
      </c>
      <c r="G65">
        <v>1966</v>
      </c>
      <c r="H65">
        <v>1982599.828</v>
      </c>
      <c r="I65">
        <v>4128.2622789999996</v>
      </c>
      <c r="J65" t="s">
        <v>29</v>
      </c>
      <c r="K65" t="s">
        <v>26</v>
      </c>
      <c r="L65">
        <v>0.99209960498024896</v>
      </c>
    </row>
    <row r="66" spans="1:12" x14ac:dyDescent="0.3">
      <c r="A66">
        <v>6766</v>
      </c>
      <c r="B66" t="s">
        <v>12</v>
      </c>
      <c r="C66" t="s">
        <v>27</v>
      </c>
      <c r="D66">
        <v>2859</v>
      </c>
      <c r="E66">
        <v>5</v>
      </c>
      <c r="F66">
        <v>2</v>
      </c>
      <c r="G66">
        <v>2002</v>
      </c>
      <c r="H66">
        <v>1980647.16</v>
      </c>
      <c r="I66">
        <v>7954.8276999999998</v>
      </c>
      <c r="J66" t="s">
        <v>28</v>
      </c>
      <c r="K66" t="s">
        <v>30</v>
      </c>
      <c r="L66">
        <v>0.99134956747837388</v>
      </c>
    </row>
    <row r="67" spans="1:12" x14ac:dyDescent="0.3">
      <c r="A67">
        <v>6812</v>
      </c>
      <c r="B67" t="s">
        <v>12</v>
      </c>
      <c r="C67" t="s">
        <v>33</v>
      </c>
      <c r="D67">
        <v>2677</v>
      </c>
      <c r="E67">
        <v>2</v>
      </c>
      <c r="F67">
        <v>3</v>
      </c>
      <c r="G67">
        <v>2015</v>
      </c>
      <c r="H67">
        <v>1996834.2309999999</v>
      </c>
      <c r="I67">
        <v>5836.2841909999997</v>
      </c>
      <c r="J67" t="s">
        <v>34</v>
      </c>
      <c r="K67" t="s">
        <v>30</v>
      </c>
      <c r="L67">
        <v>0.99819990999549979</v>
      </c>
    </row>
    <row r="68" spans="1:12" x14ac:dyDescent="0.3">
      <c r="A68">
        <v>6824</v>
      </c>
      <c r="B68" t="s">
        <v>22</v>
      </c>
      <c r="C68" t="s">
        <v>33</v>
      </c>
      <c r="D68">
        <v>3610</v>
      </c>
      <c r="E68">
        <v>1</v>
      </c>
      <c r="F68">
        <v>2</v>
      </c>
      <c r="G68">
        <v>1955</v>
      </c>
      <c r="H68">
        <v>1978370.8859999999</v>
      </c>
      <c r="I68">
        <v>6055.1375410000001</v>
      </c>
      <c r="J68" t="s">
        <v>34</v>
      </c>
      <c r="K68" t="s">
        <v>15</v>
      </c>
      <c r="L68">
        <v>0.99019950997549877</v>
      </c>
    </row>
    <row r="69" spans="1:12" x14ac:dyDescent="0.3">
      <c r="A69">
        <v>6835</v>
      </c>
      <c r="B69" t="s">
        <v>16</v>
      </c>
      <c r="C69" t="s">
        <v>27</v>
      </c>
      <c r="D69">
        <v>4442</v>
      </c>
      <c r="E69">
        <v>2</v>
      </c>
      <c r="F69">
        <v>2</v>
      </c>
      <c r="G69">
        <v>1971</v>
      </c>
      <c r="H69">
        <v>1987108.5279999999</v>
      </c>
      <c r="I69">
        <v>1858.2250260000001</v>
      </c>
      <c r="J69" t="s">
        <v>28</v>
      </c>
      <c r="K69" t="s">
        <v>30</v>
      </c>
      <c r="L69">
        <v>0.99424971248562433</v>
      </c>
    </row>
    <row r="70" spans="1:12" x14ac:dyDescent="0.3">
      <c r="A70">
        <v>6937</v>
      </c>
      <c r="B70" t="s">
        <v>12</v>
      </c>
      <c r="C70" t="s">
        <v>23</v>
      </c>
      <c r="D70">
        <v>4559</v>
      </c>
      <c r="E70">
        <v>3</v>
      </c>
      <c r="F70">
        <v>1</v>
      </c>
      <c r="G70">
        <v>1983</v>
      </c>
      <c r="H70">
        <v>1978717.246</v>
      </c>
      <c r="I70">
        <v>7516.2084720000003</v>
      </c>
      <c r="J70" t="s">
        <v>24</v>
      </c>
      <c r="K70" t="s">
        <v>15</v>
      </c>
      <c r="L70">
        <v>0.99044952247612383</v>
      </c>
    </row>
    <row r="71" spans="1:12" x14ac:dyDescent="0.3">
      <c r="A71">
        <v>6943</v>
      </c>
      <c r="B71" t="s">
        <v>16</v>
      </c>
      <c r="C71" t="s">
        <v>27</v>
      </c>
      <c r="D71">
        <v>2810</v>
      </c>
      <c r="E71">
        <v>1</v>
      </c>
      <c r="F71">
        <v>2</v>
      </c>
      <c r="G71">
        <v>2011</v>
      </c>
      <c r="H71">
        <v>1989856.6470000001</v>
      </c>
      <c r="I71">
        <v>1506.75441</v>
      </c>
      <c r="J71" t="s">
        <v>25</v>
      </c>
      <c r="K71" t="s">
        <v>15</v>
      </c>
      <c r="L71">
        <v>0.99539976998849944</v>
      </c>
    </row>
    <row r="72" spans="1:12" x14ac:dyDescent="0.3">
      <c r="A72">
        <v>7033</v>
      </c>
      <c r="B72" t="s">
        <v>22</v>
      </c>
      <c r="C72" t="s">
        <v>13</v>
      </c>
      <c r="D72">
        <v>4235</v>
      </c>
      <c r="E72">
        <v>1</v>
      </c>
      <c r="F72">
        <v>1</v>
      </c>
      <c r="G72">
        <v>1983</v>
      </c>
      <c r="H72">
        <v>1991046.0220000001</v>
      </c>
      <c r="I72">
        <v>6486.3441890000004</v>
      </c>
      <c r="J72" t="s">
        <v>32</v>
      </c>
      <c r="K72" t="s">
        <v>30</v>
      </c>
      <c r="L72">
        <v>0.99579978998949947</v>
      </c>
    </row>
    <row r="73" spans="1:12" x14ac:dyDescent="0.3">
      <c r="A73">
        <v>7116</v>
      </c>
      <c r="B73" t="s">
        <v>22</v>
      </c>
      <c r="C73" t="s">
        <v>33</v>
      </c>
      <c r="D73">
        <v>2737</v>
      </c>
      <c r="E73">
        <v>4</v>
      </c>
      <c r="F73">
        <v>2</v>
      </c>
      <c r="G73">
        <v>1963</v>
      </c>
      <c r="H73">
        <v>1997035.9779999999</v>
      </c>
      <c r="I73">
        <v>6824.430719</v>
      </c>
      <c r="J73" t="s">
        <v>34</v>
      </c>
      <c r="K73" t="s">
        <v>30</v>
      </c>
      <c r="L73">
        <v>0.99839991999599975</v>
      </c>
    </row>
    <row r="74" spans="1:12" x14ac:dyDescent="0.3">
      <c r="A74">
        <v>7133</v>
      </c>
      <c r="B74" t="s">
        <v>16</v>
      </c>
      <c r="C74" t="s">
        <v>13</v>
      </c>
      <c r="D74">
        <v>3735</v>
      </c>
      <c r="E74">
        <v>2</v>
      </c>
      <c r="F74">
        <v>1</v>
      </c>
      <c r="G74">
        <v>1994</v>
      </c>
      <c r="H74">
        <v>1999224.7579999999</v>
      </c>
      <c r="I74">
        <v>3981.1702399999999</v>
      </c>
      <c r="J74" t="s">
        <v>25</v>
      </c>
      <c r="K74" t="s">
        <v>30</v>
      </c>
      <c r="L74">
        <v>0.99969998499924995</v>
      </c>
    </row>
    <row r="75" spans="1:12" x14ac:dyDescent="0.3">
      <c r="A75">
        <v>7134</v>
      </c>
      <c r="B75" t="s">
        <v>31</v>
      </c>
      <c r="C75" t="s">
        <v>17</v>
      </c>
      <c r="D75">
        <v>4701</v>
      </c>
      <c r="E75">
        <v>1</v>
      </c>
      <c r="F75">
        <v>1</v>
      </c>
      <c r="G75">
        <v>1993</v>
      </c>
      <c r="H75">
        <v>1982139.466</v>
      </c>
      <c r="I75">
        <v>1697.8629659999999</v>
      </c>
      <c r="J75" t="s">
        <v>35</v>
      </c>
      <c r="K75" t="s">
        <v>30</v>
      </c>
      <c r="L75">
        <v>0.99194959747987399</v>
      </c>
    </row>
    <row r="76" spans="1:12" x14ac:dyDescent="0.3">
      <c r="A76">
        <v>7237</v>
      </c>
      <c r="B76" t="s">
        <v>22</v>
      </c>
      <c r="C76" t="s">
        <v>17</v>
      </c>
      <c r="D76">
        <v>2692</v>
      </c>
      <c r="E76">
        <v>3</v>
      </c>
      <c r="F76">
        <v>2</v>
      </c>
      <c r="G76">
        <v>1975</v>
      </c>
      <c r="H76">
        <v>1978946.1610000001</v>
      </c>
      <c r="I76">
        <v>7726.2395740000002</v>
      </c>
      <c r="J76" t="s">
        <v>35</v>
      </c>
      <c r="K76" t="s">
        <v>30</v>
      </c>
      <c r="L76">
        <v>0.99054952747637381</v>
      </c>
    </row>
    <row r="77" spans="1:12" x14ac:dyDescent="0.3">
      <c r="A77">
        <v>7313</v>
      </c>
      <c r="B77" t="s">
        <v>22</v>
      </c>
      <c r="C77" t="s">
        <v>13</v>
      </c>
      <c r="D77">
        <v>3150</v>
      </c>
      <c r="E77">
        <v>3</v>
      </c>
      <c r="F77">
        <v>2</v>
      </c>
      <c r="G77">
        <v>2002</v>
      </c>
      <c r="H77">
        <v>1993982.105</v>
      </c>
      <c r="I77">
        <v>4195.3748679999999</v>
      </c>
      <c r="J77" t="s">
        <v>25</v>
      </c>
      <c r="K77" t="s">
        <v>30</v>
      </c>
      <c r="L77">
        <v>0.99724986249312464</v>
      </c>
    </row>
    <row r="78" spans="1:12" x14ac:dyDescent="0.3">
      <c r="A78">
        <v>7319</v>
      </c>
      <c r="B78" t="s">
        <v>12</v>
      </c>
      <c r="C78" t="s">
        <v>33</v>
      </c>
      <c r="D78">
        <v>726</v>
      </c>
      <c r="E78">
        <v>2</v>
      </c>
      <c r="F78">
        <v>2</v>
      </c>
      <c r="G78">
        <v>1986</v>
      </c>
      <c r="H78">
        <v>1978220.5549999999</v>
      </c>
      <c r="I78">
        <v>3666.3676959999998</v>
      </c>
      <c r="J78" t="s">
        <v>37</v>
      </c>
      <c r="K78" t="s">
        <v>15</v>
      </c>
      <c r="L78">
        <v>0.99009950497524879</v>
      </c>
    </row>
    <row r="79" spans="1:12" x14ac:dyDescent="0.3">
      <c r="A79">
        <v>7374</v>
      </c>
      <c r="B79" t="s">
        <v>16</v>
      </c>
      <c r="C79" t="s">
        <v>27</v>
      </c>
      <c r="D79">
        <v>569</v>
      </c>
      <c r="E79">
        <v>2</v>
      </c>
      <c r="F79">
        <v>1</v>
      </c>
      <c r="G79">
        <v>1955</v>
      </c>
      <c r="H79">
        <v>1980531.2479999999</v>
      </c>
      <c r="I79">
        <v>3884.8647030000002</v>
      </c>
      <c r="J79" t="s">
        <v>25</v>
      </c>
      <c r="K79" t="s">
        <v>15</v>
      </c>
      <c r="L79">
        <v>0.9912495624781239</v>
      </c>
    </row>
    <row r="80" spans="1:12" x14ac:dyDescent="0.3">
      <c r="A80">
        <v>7677</v>
      </c>
      <c r="B80" t="s">
        <v>31</v>
      </c>
      <c r="C80" t="s">
        <v>20</v>
      </c>
      <c r="D80">
        <v>1361</v>
      </c>
      <c r="E80">
        <v>4</v>
      </c>
      <c r="F80">
        <v>1</v>
      </c>
      <c r="G80">
        <v>1992</v>
      </c>
      <c r="H80">
        <v>1997362.3389999999</v>
      </c>
      <c r="I80">
        <v>3299.767417</v>
      </c>
      <c r="J80" t="s">
        <v>21</v>
      </c>
      <c r="K80" t="s">
        <v>30</v>
      </c>
      <c r="L80">
        <v>0.99849992499624984</v>
      </c>
    </row>
    <row r="81" spans="1:12" x14ac:dyDescent="0.3">
      <c r="A81">
        <v>8106</v>
      </c>
      <c r="B81" t="s">
        <v>22</v>
      </c>
      <c r="C81" t="s">
        <v>23</v>
      </c>
      <c r="D81">
        <v>4444</v>
      </c>
      <c r="E81">
        <v>4</v>
      </c>
      <c r="F81">
        <v>1</v>
      </c>
      <c r="G81">
        <v>2000</v>
      </c>
      <c r="H81">
        <v>1980900.723</v>
      </c>
      <c r="I81">
        <v>3058.425992</v>
      </c>
      <c r="J81" t="s">
        <v>36</v>
      </c>
      <c r="K81" t="s">
        <v>15</v>
      </c>
      <c r="L81">
        <v>0.99139956997849887</v>
      </c>
    </row>
    <row r="82" spans="1:12" x14ac:dyDescent="0.3">
      <c r="A82">
        <v>8154</v>
      </c>
      <c r="B82" t="s">
        <v>16</v>
      </c>
      <c r="C82" t="s">
        <v>23</v>
      </c>
      <c r="D82">
        <v>2799</v>
      </c>
      <c r="E82">
        <v>4</v>
      </c>
      <c r="F82">
        <v>1</v>
      </c>
      <c r="G82">
        <v>1989</v>
      </c>
      <c r="H82">
        <v>1988087.9920000001</v>
      </c>
      <c r="I82">
        <v>4204.2168279999996</v>
      </c>
      <c r="J82" t="s">
        <v>36</v>
      </c>
      <c r="K82" t="s">
        <v>15</v>
      </c>
      <c r="L82">
        <v>0.99474973748687434</v>
      </c>
    </row>
    <row r="83" spans="1:12" x14ac:dyDescent="0.3">
      <c r="A83">
        <v>8198</v>
      </c>
      <c r="B83" t="s">
        <v>16</v>
      </c>
      <c r="C83" t="s">
        <v>27</v>
      </c>
      <c r="D83">
        <v>1232</v>
      </c>
      <c r="E83">
        <v>2</v>
      </c>
      <c r="F83">
        <v>2</v>
      </c>
      <c r="G83">
        <v>2017</v>
      </c>
      <c r="H83">
        <v>1996174.39</v>
      </c>
      <c r="I83">
        <v>6281.4597919999997</v>
      </c>
      <c r="J83" t="s">
        <v>25</v>
      </c>
      <c r="K83" t="s">
        <v>30</v>
      </c>
      <c r="L83">
        <v>0.99794989749487473</v>
      </c>
    </row>
    <row r="84" spans="1:12" x14ac:dyDescent="0.3">
      <c r="A84">
        <v>8268</v>
      </c>
      <c r="B84" t="s">
        <v>22</v>
      </c>
      <c r="C84" t="s">
        <v>33</v>
      </c>
      <c r="D84">
        <v>2205</v>
      </c>
      <c r="E84">
        <v>2</v>
      </c>
      <c r="F84">
        <v>3</v>
      </c>
      <c r="G84">
        <v>1983</v>
      </c>
      <c r="H84">
        <v>1981763.9010000001</v>
      </c>
      <c r="I84">
        <v>5593.7412270000004</v>
      </c>
      <c r="J84" t="s">
        <v>34</v>
      </c>
      <c r="K84" t="s">
        <v>30</v>
      </c>
      <c r="L84">
        <v>0.99174958747937392</v>
      </c>
    </row>
    <row r="85" spans="1:12" x14ac:dyDescent="0.3">
      <c r="A85">
        <v>8284</v>
      </c>
      <c r="B85" t="s">
        <v>22</v>
      </c>
      <c r="C85" t="s">
        <v>13</v>
      </c>
      <c r="D85">
        <v>2995</v>
      </c>
      <c r="E85">
        <v>5</v>
      </c>
      <c r="F85">
        <v>3</v>
      </c>
      <c r="G85">
        <v>2011</v>
      </c>
      <c r="H85">
        <v>1979320.3459999999</v>
      </c>
      <c r="I85">
        <v>7164.9424740000004</v>
      </c>
      <c r="J85" t="s">
        <v>32</v>
      </c>
      <c r="K85" t="s">
        <v>30</v>
      </c>
      <c r="L85">
        <v>0.99069953497674879</v>
      </c>
    </row>
    <row r="86" spans="1:12" x14ac:dyDescent="0.3">
      <c r="A86">
        <v>8298</v>
      </c>
      <c r="B86" t="s">
        <v>16</v>
      </c>
      <c r="C86" t="s">
        <v>20</v>
      </c>
      <c r="D86">
        <v>3095</v>
      </c>
      <c r="E86">
        <v>3</v>
      </c>
      <c r="F86">
        <v>2</v>
      </c>
      <c r="G86">
        <v>1981</v>
      </c>
      <c r="H86">
        <v>1999954.351</v>
      </c>
      <c r="I86">
        <v>6164.7516569999998</v>
      </c>
      <c r="J86" t="s">
        <v>38</v>
      </c>
      <c r="K86" t="s">
        <v>30</v>
      </c>
      <c r="L86">
        <v>0.99994999749987501</v>
      </c>
    </row>
    <row r="87" spans="1:12" x14ac:dyDescent="0.3">
      <c r="A87">
        <v>8356</v>
      </c>
      <c r="B87" t="s">
        <v>22</v>
      </c>
      <c r="C87" t="s">
        <v>27</v>
      </c>
      <c r="D87">
        <v>1911</v>
      </c>
      <c r="E87">
        <v>4</v>
      </c>
      <c r="F87">
        <v>3</v>
      </c>
      <c r="G87">
        <v>1995</v>
      </c>
      <c r="H87">
        <v>1978397.443</v>
      </c>
      <c r="I87">
        <v>7689.0220740000004</v>
      </c>
      <c r="J87" t="s">
        <v>25</v>
      </c>
      <c r="K87" t="s">
        <v>15</v>
      </c>
      <c r="L87">
        <v>0.99024951247562376</v>
      </c>
    </row>
    <row r="88" spans="1:12" x14ac:dyDescent="0.3">
      <c r="A88">
        <v>8419</v>
      </c>
      <c r="B88" t="s">
        <v>22</v>
      </c>
      <c r="C88" t="s">
        <v>13</v>
      </c>
      <c r="D88">
        <v>767</v>
      </c>
      <c r="E88">
        <v>3</v>
      </c>
      <c r="F88">
        <v>2</v>
      </c>
      <c r="G88">
        <v>1979</v>
      </c>
      <c r="H88">
        <v>1996837.1880000001</v>
      </c>
      <c r="I88">
        <v>4744.9039480000001</v>
      </c>
      <c r="J88" t="s">
        <v>32</v>
      </c>
      <c r="K88" t="s">
        <v>26</v>
      </c>
      <c r="L88">
        <v>0.99824991249562478</v>
      </c>
    </row>
    <row r="89" spans="1:12" x14ac:dyDescent="0.3">
      <c r="A89">
        <v>8442</v>
      </c>
      <c r="B89" t="s">
        <v>12</v>
      </c>
      <c r="C89" t="s">
        <v>27</v>
      </c>
      <c r="D89">
        <v>2604</v>
      </c>
      <c r="E89">
        <v>4</v>
      </c>
      <c r="F89">
        <v>1</v>
      </c>
      <c r="G89">
        <v>1977</v>
      </c>
      <c r="H89">
        <v>1997388.844</v>
      </c>
      <c r="I89">
        <v>5226.2406920000003</v>
      </c>
      <c r="J89" t="s">
        <v>29</v>
      </c>
      <c r="K89" t="s">
        <v>15</v>
      </c>
      <c r="L89">
        <v>0.99859992999649982</v>
      </c>
    </row>
    <row r="90" spans="1:12" x14ac:dyDescent="0.3">
      <c r="A90">
        <v>8504</v>
      </c>
      <c r="B90" t="s">
        <v>12</v>
      </c>
      <c r="C90" t="s">
        <v>27</v>
      </c>
      <c r="D90">
        <v>3259</v>
      </c>
      <c r="E90">
        <v>2</v>
      </c>
      <c r="F90">
        <v>3</v>
      </c>
      <c r="G90">
        <v>1992</v>
      </c>
      <c r="H90">
        <v>1992761.6</v>
      </c>
      <c r="I90">
        <v>3237.6886439999998</v>
      </c>
      <c r="J90" t="s">
        <v>29</v>
      </c>
      <c r="K90" t="s">
        <v>30</v>
      </c>
      <c r="L90">
        <v>0.9968498424921246</v>
      </c>
    </row>
    <row r="91" spans="1:12" x14ac:dyDescent="0.3">
      <c r="A91">
        <v>8875</v>
      </c>
      <c r="B91" t="s">
        <v>22</v>
      </c>
      <c r="C91" t="s">
        <v>27</v>
      </c>
      <c r="D91">
        <v>565</v>
      </c>
      <c r="E91">
        <v>4</v>
      </c>
      <c r="F91">
        <v>2</v>
      </c>
      <c r="G91">
        <v>1990</v>
      </c>
      <c r="H91">
        <v>1993946.1240000001</v>
      </c>
      <c r="I91">
        <v>5927.5189659999996</v>
      </c>
      <c r="J91" t="s">
        <v>28</v>
      </c>
      <c r="K91" t="s">
        <v>15</v>
      </c>
      <c r="L91">
        <v>0.99719985999299965</v>
      </c>
    </row>
    <row r="92" spans="1:12" x14ac:dyDescent="0.3">
      <c r="A92">
        <v>8904</v>
      </c>
      <c r="B92" t="s">
        <v>12</v>
      </c>
      <c r="C92" t="s">
        <v>17</v>
      </c>
      <c r="D92">
        <v>4389</v>
      </c>
      <c r="E92">
        <v>3</v>
      </c>
      <c r="F92">
        <v>1</v>
      </c>
      <c r="G92">
        <v>1995</v>
      </c>
      <c r="H92">
        <v>1979538.804</v>
      </c>
      <c r="I92">
        <v>6705.87871</v>
      </c>
      <c r="J92" t="s">
        <v>35</v>
      </c>
      <c r="K92" t="s">
        <v>30</v>
      </c>
      <c r="L92">
        <v>0.99089954497724886</v>
      </c>
    </row>
    <row r="93" spans="1:12" x14ac:dyDescent="0.3">
      <c r="A93">
        <v>8957</v>
      </c>
      <c r="B93" t="s">
        <v>22</v>
      </c>
      <c r="C93" t="s">
        <v>17</v>
      </c>
      <c r="D93">
        <v>1168</v>
      </c>
      <c r="E93">
        <v>3</v>
      </c>
      <c r="F93">
        <v>2</v>
      </c>
      <c r="G93">
        <v>1999</v>
      </c>
      <c r="H93">
        <v>1996218.906</v>
      </c>
      <c r="I93">
        <v>2412.7217030000002</v>
      </c>
      <c r="J93" t="s">
        <v>18</v>
      </c>
      <c r="K93" t="s">
        <v>26</v>
      </c>
      <c r="L93">
        <v>0.99799989999499972</v>
      </c>
    </row>
    <row r="94" spans="1:12" x14ac:dyDescent="0.3">
      <c r="A94">
        <v>9077</v>
      </c>
      <c r="B94" t="s">
        <v>16</v>
      </c>
      <c r="C94" t="s">
        <v>17</v>
      </c>
      <c r="D94">
        <v>4637</v>
      </c>
      <c r="E94">
        <v>5</v>
      </c>
      <c r="F94">
        <v>2</v>
      </c>
      <c r="G94">
        <v>1962</v>
      </c>
      <c r="H94">
        <v>1985723.905</v>
      </c>
      <c r="I94">
        <v>542.95417239999995</v>
      </c>
      <c r="J94" t="s">
        <v>35</v>
      </c>
      <c r="K94" t="s">
        <v>15</v>
      </c>
      <c r="L94">
        <v>0.99344967248362415</v>
      </c>
    </row>
    <row r="95" spans="1:12" x14ac:dyDescent="0.3">
      <c r="A95">
        <v>9334</v>
      </c>
      <c r="B95" t="s">
        <v>22</v>
      </c>
      <c r="C95" t="s">
        <v>20</v>
      </c>
      <c r="D95">
        <v>4127</v>
      </c>
      <c r="E95">
        <v>1</v>
      </c>
      <c r="F95">
        <v>3</v>
      </c>
      <c r="G95">
        <v>1991</v>
      </c>
      <c r="H95">
        <v>1985604.1669999999</v>
      </c>
      <c r="I95">
        <v>7901.382861</v>
      </c>
      <c r="J95" t="s">
        <v>38</v>
      </c>
      <c r="K95" t="s">
        <v>15</v>
      </c>
      <c r="L95">
        <v>0.99339966998349916</v>
      </c>
    </row>
    <row r="96" spans="1:12" x14ac:dyDescent="0.3">
      <c r="A96">
        <v>9447</v>
      </c>
      <c r="B96" t="s">
        <v>12</v>
      </c>
      <c r="C96" t="s">
        <v>17</v>
      </c>
      <c r="D96">
        <v>3543</v>
      </c>
      <c r="E96">
        <v>3</v>
      </c>
      <c r="F96">
        <v>3</v>
      </c>
      <c r="G96">
        <v>1950</v>
      </c>
      <c r="H96">
        <v>1986455.841</v>
      </c>
      <c r="I96">
        <v>886.44100949999995</v>
      </c>
      <c r="J96" t="s">
        <v>35</v>
      </c>
      <c r="K96" t="s">
        <v>15</v>
      </c>
      <c r="L96">
        <v>0.99394969748487427</v>
      </c>
    </row>
    <row r="97" spans="1:12" x14ac:dyDescent="0.3">
      <c r="A97">
        <v>9455</v>
      </c>
      <c r="B97" t="s">
        <v>16</v>
      </c>
      <c r="C97" t="s">
        <v>20</v>
      </c>
      <c r="D97">
        <v>2031</v>
      </c>
      <c r="E97">
        <v>5</v>
      </c>
      <c r="F97">
        <v>1</v>
      </c>
      <c r="G97">
        <v>1961</v>
      </c>
      <c r="H97">
        <v>1982303.216</v>
      </c>
      <c r="I97">
        <v>6307.4305370000002</v>
      </c>
      <c r="J97" t="s">
        <v>41</v>
      </c>
      <c r="K97" t="s">
        <v>15</v>
      </c>
      <c r="L97">
        <v>0.99199959997999898</v>
      </c>
    </row>
    <row r="98" spans="1:12" x14ac:dyDescent="0.3">
      <c r="A98">
        <v>9473</v>
      </c>
      <c r="B98" t="s">
        <v>16</v>
      </c>
      <c r="C98" t="s">
        <v>27</v>
      </c>
      <c r="D98">
        <v>2867</v>
      </c>
      <c r="E98">
        <v>1</v>
      </c>
      <c r="F98">
        <v>3</v>
      </c>
      <c r="G98">
        <v>1994</v>
      </c>
      <c r="H98">
        <v>1993223.8959999999</v>
      </c>
      <c r="I98">
        <v>7038.9096909999998</v>
      </c>
      <c r="J98" t="s">
        <v>28</v>
      </c>
      <c r="K98" t="s">
        <v>30</v>
      </c>
      <c r="L98">
        <v>0.99704985249262468</v>
      </c>
    </row>
    <row r="99" spans="1:12" x14ac:dyDescent="0.3">
      <c r="A99">
        <v>9520</v>
      </c>
      <c r="B99" t="s">
        <v>22</v>
      </c>
      <c r="C99" t="s">
        <v>17</v>
      </c>
      <c r="D99">
        <v>3178</v>
      </c>
      <c r="E99">
        <v>3</v>
      </c>
      <c r="F99">
        <v>3</v>
      </c>
      <c r="G99">
        <v>1960</v>
      </c>
      <c r="H99">
        <v>1987255.52</v>
      </c>
      <c r="I99">
        <v>2155.0269539999999</v>
      </c>
      <c r="J99" t="s">
        <v>18</v>
      </c>
      <c r="K99" t="s">
        <v>15</v>
      </c>
      <c r="L99">
        <v>0.9943997199859993</v>
      </c>
    </row>
    <row r="100" spans="1:12" x14ac:dyDescent="0.3">
      <c r="A100">
        <v>9628</v>
      </c>
      <c r="B100" t="s">
        <v>16</v>
      </c>
      <c r="C100" t="s">
        <v>27</v>
      </c>
      <c r="D100">
        <v>1967</v>
      </c>
      <c r="E100">
        <v>5</v>
      </c>
      <c r="F100">
        <v>1</v>
      </c>
      <c r="G100">
        <v>2018</v>
      </c>
      <c r="H100">
        <v>1978682.0919999999</v>
      </c>
      <c r="I100">
        <v>1611.589872</v>
      </c>
      <c r="J100" t="s">
        <v>29</v>
      </c>
      <c r="K100" t="s">
        <v>15</v>
      </c>
      <c r="L100">
        <v>0.99034951747587374</v>
      </c>
    </row>
    <row r="101" spans="1:12" x14ac:dyDescent="0.3">
      <c r="A101">
        <v>9901</v>
      </c>
      <c r="B101" t="s">
        <v>31</v>
      </c>
      <c r="C101" t="s">
        <v>23</v>
      </c>
      <c r="D101">
        <v>4319</v>
      </c>
      <c r="E101">
        <v>4</v>
      </c>
      <c r="F101">
        <v>3</v>
      </c>
      <c r="G101">
        <v>1978</v>
      </c>
      <c r="H101">
        <v>1991381.132</v>
      </c>
      <c r="I101">
        <v>7961.0245199999999</v>
      </c>
      <c r="J101" t="s">
        <v>25</v>
      </c>
      <c r="K101" t="s">
        <v>15</v>
      </c>
      <c r="L101">
        <v>0.99609980499024953</v>
      </c>
    </row>
    <row r="102" spans="1:12" x14ac:dyDescent="0.3">
      <c r="A102">
        <v>10123</v>
      </c>
      <c r="B102" t="s">
        <v>16</v>
      </c>
      <c r="C102" t="s">
        <v>17</v>
      </c>
      <c r="D102">
        <v>4341</v>
      </c>
      <c r="E102">
        <v>5</v>
      </c>
      <c r="F102">
        <v>1</v>
      </c>
      <c r="G102">
        <v>1963</v>
      </c>
      <c r="H102">
        <v>1985745.8370000001</v>
      </c>
      <c r="I102">
        <v>6093.1908549999998</v>
      </c>
      <c r="J102" t="s">
        <v>35</v>
      </c>
      <c r="K102" t="s">
        <v>30</v>
      </c>
      <c r="L102">
        <v>0.99349967498374914</v>
      </c>
    </row>
    <row r="103" spans="1:12" x14ac:dyDescent="0.3">
      <c r="A103">
        <v>10278</v>
      </c>
      <c r="B103" t="s">
        <v>22</v>
      </c>
      <c r="C103" t="s">
        <v>17</v>
      </c>
      <c r="D103">
        <v>4126</v>
      </c>
      <c r="E103">
        <v>3</v>
      </c>
      <c r="F103">
        <v>3</v>
      </c>
      <c r="G103">
        <v>1980</v>
      </c>
      <c r="H103">
        <v>1987288.5220000001</v>
      </c>
      <c r="I103">
        <v>5292.3885309999996</v>
      </c>
      <c r="J103" t="s">
        <v>18</v>
      </c>
      <c r="K103" t="s">
        <v>15</v>
      </c>
      <c r="L103">
        <v>0.99449972498624928</v>
      </c>
    </row>
    <row r="104" spans="1:12" x14ac:dyDescent="0.3">
      <c r="A104">
        <v>10300</v>
      </c>
      <c r="B104" t="s">
        <v>31</v>
      </c>
      <c r="C104" t="s">
        <v>17</v>
      </c>
      <c r="D104">
        <v>4788</v>
      </c>
      <c r="E104">
        <v>4</v>
      </c>
      <c r="F104">
        <v>2</v>
      </c>
      <c r="G104">
        <v>1954</v>
      </c>
      <c r="H104">
        <v>1991959.068</v>
      </c>
      <c r="I104">
        <v>1421.4366809999999</v>
      </c>
      <c r="J104" t="s">
        <v>35</v>
      </c>
      <c r="K104" t="s">
        <v>26</v>
      </c>
      <c r="L104">
        <v>0.99639981999099958</v>
      </c>
    </row>
    <row r="105" spans="1:12" x14ac:dyDescent="0.3">
      <c r="A105">
        <v>10530</v>
      </c>
      <c r="B105" t="s">
        <v>16</v>
      </c>
      <c r="C105" t="s">
        <v>13</v>
      </c>
      <c r="D105">
        <v>4283</v>
      </c>
      <c r="E105">
        <v>1</v>
      </c>
      <c r="F105">
        <v>3</v>
      </c>
      <c r="G105">
        <v>1972</v>
      </c>
      <c r="H105">
        <v>1999295.398</v>
      </c>
      <c r="I105">
        <v>1219.188506</v>
      </c>
      <c r="J105" t="s">
        <v>25</v>
      </c>
      <c r="K105" t="s">
        <v>30</v>
      </c>
      <c r="L105">
        <v>0.99974998749937494</v>
      </c>
    </row>
    <row r="106" spans="1:12" x14ac:dyDescent="0.3">
      <c r="A106">
        <v>10566</v>
      </c>
      <c r="B106" t="s">
        <v>22</v>
      </c>
      <c r="C106" t="s">
        <v>17</v>
      </c>
      <c r="D106">
        <v>2955</v>
      </c>
      <c r="E106">
        <v>4</v>
      </c>
      <c r="F106">
        <v>1</v>
      </c>
      <c r="G106">
        <v>1965</v>
      </c>
      <c r="H106">
        <v>1992698.0160000001</v>
      </c>
      <c r="I106">
        <v>4838.9181120000003</v>
      </c>
      <c r="J106" t="s">
        <v>40</v>
      </c>
      <c r="K106" t="s">
        <v>30</v>
      </c>
      <c r="L106">
        <v>0.99679983999199961</v>
      </c>
    </row>
    <row r="107" spans="1:12" x14ac:dyDescent="0.3">
      <c r="A107">
        <v>10622</v>
      </c>
      <c r="B107" t="s">
        <v>22</v>
      </c>
      <c r="C107" t="s">
        <v>27</v>
      </c>
      <c r="D107">
        <v>2633</v>
      </c>
      <c r="E107">
        <v>1</v>
      </c>
      <c r="F107">
        <v>1</v>
      </c>
      <c r="G107">
        <v>1992</v>
      </c>
      <c r="H107">
        <v>1984546.6059999999</v>
      </c>
      <c r="I107">
        <v>1357.839929</v>
      </c>
      <c r="J107" t="s">
        <v>29</v>
      </c>
      <c r="K107" t="s">
        <v>15</v>
      </c>
      <c r="L107">
        <v>0.99274963748187406</v>
      </c>
    </row>
    <row r="108" spans="1:12" x14ac:dyDescent="0.3">
      <c r="A108">
        <v>10673</v>
      </c>
      <c r="B108" t="s">
        <v>22</v>
      </c>
      <c r="C108" t="s">
        <v>13</v>
      </c>
      <c r="D108">
        <v>4067</v>
      </c>
      <c r="E108">
        <v>2</v>
      </c>
      <c r="F108">
        <v>1</v>
      </c>
      <c r="G108">
        <v>1995</v>
      </c>
      <c r="H108">
        <v>1978369.808</v>
      </c>
      <c r="I108">
        <v>2423.083005</v>
      </c>
      <c r="J108" t="s">
        <v>32</v>
      </c>
      <c r="K108" t="s">
        <v>30</v>
      </c>
      <c r="L108">
        <v>0.99014950747537378</v>
      </c>
    </row>
    <row r="109" spans="1:12" x14ac:dyDescent="0.3">
      <c r="A109">
        <v>10700</v>
      </c>
      <c r="B109" t="s">
        <v>22</v>
      </c>
      <c r="C109" t="s">
        <v>13</v>
      </c>
      <c r="D109">
        <v>1758</v>
      </c>
      <c r="E109">
        <v>5</v>
      </c>
      <c r="F109">
        <v>2</v>
      </c>
      <c r="G109">
        <v>1956</v>
      </c>
      <c r="H109">
        <v>1982449.2790000001</v>
      </c>
      <c r="I109">
        <v>3814.4982530000002</v>
      </c>
      <c r="J109" t="s">
        <v>14</v>
      </c>
      <c r="K109" t="s">
        <v>15</v>
      </c>
      <c r="L109">
        <v>0.99204960248012397</v>
      </c>
    </row>
    <row r="110" spans="1:12" x14ac:dyDescent="0.3">
      <c r="A110">
        <v>11040</v>
      </c>
      <c r="B110" t="s">
        <v>12</v>
      </c>
      <c r="C110" t="s">
        <v>17</v>
      </c>
      <c r="D110">
        <v>4672</v>
      </c>
      <c r="E110">
        <v>5</v>
      </c>
      <c r="F110">
        <v>2</v>
      </c>
      <c r="G110">
        <v>1976</v>
      </c>
      <c r="H110">
        <v>1992044.976</v>
      </c>
      <c r="I110">
        <v>4000.6947049999999</v>
      </c>
      <c r="J110" t="s">
        <v>35</v>
      </c>
      <c r="K110" t="s">
        <v>26</v>
      </c>
      <c r="L110">
        <v>0.99644982249112457</v>
      </c>
    </row>
    <row r="111" spans="1:12" x14ac:dyDescent="0.3">
      <c r="A111">
        <v>11041</v>
      </c>
      <c r="B111" t="s">
        <v>12</v>
      </c>
      <c r="C111" t="s">
        <v>17</v>
      </c>
      <c r="D111">
        <v>4333</v>
      </c>
      <c r="E111">
        <v>1</v>
      </c>
      <c r="F111">
        <v>2</v>
      </c>
      <c r="G111">
        <v>1982</v>
      </c>
      <c r="H111">
        <v>1999739.486</v>
      </c>
      <c r="I111">
        <v>2248.4361450000001</v>
      </c>
      <c r="J111" t="s">
        <v>35</v>
      </c>
      <c r="K111" t="s">
        <v>30</v>
      </c>
      <c r="L111">
        <v>0.99989999499975002</v>
      </c>
    </row>
    <row r="112" spans="1:12" x14ac:dyDescent="0.3">
      <c r="A112">
        <v>11096</v>
      </c>
      <c r="B112" t="s">
        <v>31</v>
      </c>
      <c r="C112" t="s">
        <v>33</v>
      </c>
      <c r="D112">
        <v>1917</v>
      </c>
      <c r="E112">
        <v>3</v>
      </c>
      <c r="F112">
        <v>1</v>
      </c>
      <c r="G112">
        <v>2007</v>
      </c>
      <c r="H112">
        <v>1980645.054</v>
      </c>
      <c r="I112">
        <v>3849.9080279999998</v>
      </c>
      <c r="J112" t="s">
        <v>39</v>
      </c>
      <c r="K112" t="s">
        <v>30</v>
      </c>
      <c r="L112">
        <v>0.99129956497824889</v>
      </c>
    </row>
    <row r="113" spans="1:12" x14ac:dyDescent="0.3">
      <c r="A113">
        <v>11103</v>
      </c>
      <c r="B113" t="s">
        <v>31</v>
      </c>
      <c r="C113" t="s">
        <v>23</v>
      </c>
      <c r="D113">
        <v>4358</v>
      </c>
      <c r="E113">
        <v>1</v>
      </c>
      <c r="F113">
        <v>3</v>
      </c>
      <c r="G113">
        <v>1963</v>
      </c>
      <c r="H113">
        <v>1999032.334</v>
      </c>
      <c r="I113">
        <v>2028.535425</v>
      </c>
      <c r="J113" t="s">
        <v>25</v>
      </c>
      <c r="K113" t="s">
        <v>15</v>
      </c>
      <c r="L113">
        <v>0.99944997249862488</v>
      </c>
    </row>
    <row r="114" spans="1:12" x14ac:dyDescent="0.3">
      <c r="A114">
        <v>11131</v>
      </c>
      <c r="B114" t="s">
        <v>12</v>
      </c>
      <c r="C114" t="s">
        <v>20</v>
      </c>
      <c r="D114">
        <v>4580</v>
      </c>
      <c r="E114">
        <v>4</v>
      </c>
      <c r="F114">
        <v>2</v>
      </c>
      <c r="G114">
        <v>1995</v>
      </c>
      <c r="H114">
        <v>1991251.986</v>
      </c>
      <c r="I114">
        <v>2140.7727519999999</v>
      </c>
      <c r="J114" t="s">
        <v>21</v>
      </c>
      <c r="K114" t="s">
        <v>15</v>
      </c>
      <c r="L114">
        <v>0.99594979748987444</v>
      </c>
    </row>
    <row r="115" spans="1:12" x14ac:dyDescent="0.3">
      <c r="A115">
        <v>11205</v>
      </c>
      <c r="B115" t="s">
        <v>31</v>
      </c>
      <c r="C115" t="s">
        <v>33</v>
      </c>
      <c r="D115">
        <v>4812</v>
      </c>
      <c r="E115">
        <v>1</v>
      </c>
      <c r="F115">
        <v>3</v>
      </c>
      <c r="G115">
        <v>2021</v>
      </c>
      <c r="H115">
        <v>1995642.297</v>
      </c>
      <c r="I115">
        <v>7263.4996940000001</v>
      </c>
      <c r="J115" t="s">
        <v>42</v>
      </c>
      <c r="K115" t="s">
        <v>30</v>
      </c>
      <c r="L115">
        <v>0.99774988749437477</v>
      </c>
    </row>
    <row r="116" spans="1:12" x14ac:dyDescent="0.3">
      <c r="A116">
        <v>11315</v>
      </c>
      <c r="B116" t="s">
        <v>12</v>
      </c>
      <c r="C116" t="s">
        <v>17</v>
      </c>
      <c r="D116">
        <v>1141</v>
      </c>
      <c r="E116">
        <v>2</v>
      </c>
      <c r="F116">
        <v>1</v>
      </c>
      <c r="G116">
        <v>1950</v>
      </c>
      <c r="H116">
        <v>1985128.3729999999</v>
      </c>
      <c r="I116">
        <v>1404.3167390000001</v>
      </c>
      <c r="J116" t="s">
        <v>18</v>
      </c>
      <c r="K116" t="s">
        <v>15</v>
      </c>
      <c r="L116">
        <v>0.99314965748287409</v>
      </c>
    </row>
    <row r="117" spans="1:12" x14ac:dyDescent="0.3">
      <c r="A117">
        <v>11533</v>
      </c>
      <c r="B117" t="s">
        <v>12</v>
      </c>
      <c r="C117" t="s">
        <v>17</v>
      </c>
      <c r="D117">
        <v>2743</v>
      </c>
      <c r="E117">
        <v>5</v>
      </c>
      <c r="F117">
        <v>1</v>
      </c>
      <c r="G117">
        <v>1964</v>
      </c>
      <c r="H117">
        <v>1985099.9879999999</v>
      </c>
      <c r="I117">
        <v>4155.7392040000004</v>
      </c>
      <c r="J117" t="s">
        <v>35</v>
      </c>
      <c r="K117" t="s">
        <v>15</v>
      </c>
      <c r="L117">
        <v>0.99304965248262411</v>
      </c>
    </row>
    <row r="118" spans="1:12" x14ac:dyDescent="0.3">
      <c r="A118">
        <v>11540</v>
      </c>
      <c r="B118" t="s">
        <v>12</v>
      </c>
      <c r="C118" t="s">
        <v>13</v>
      </c>
      <c r="D118">
        <v>1010</v>
      </c>
      <c r="E118">
        <v>4</v>
      </c>
      <c r="F118">
        <v>2</v>
      </c>
      <c r="G118">
        <v>2000</v>
      </c>
      <c r="H118">
        <v>1980408.149</v>
      </c>
      <c r="I118">
        <v>4836.8469100000002</v>
      </c>
      <c r="J118" t="s">
        <v>25</v>
      </c>
      <c r="K118" t="s">
        <v>30</v>
      </c>
      <c r="L118">
        <v>0.99119955997799891</v>
      </c>
    </row>
    <row r="119" spans="1:12" x14ac:dyDescent="0.3">
      <c r="A119">
        <v>11651</v>
      </c>
      <c r="B119" t="s">
        <v>12</v>
      </c>
      <c r="C119" t="s">
        <v>33</v>
      </c>
      <c r="D119">
        <v>4675</v>
      </c>
      <c r="E119">
        <v>5</v>
      </c>
      <c r="F119">
        <v>1</v>
      </c>
      <c r="G119">
        <v>1964</v>
      </c>
      <c r="H119">
        <v>1979506.8130000001</v>
      </c>
      <c r="I119">
        <v>6502.924575</v>
      </c>
      <c r="J119" t="s">
        <v>42</v>
      </c>
      <c r="K119" t="s">
        <v>30</v>
      </c>
      <c r="L119">
        <v>0.99084954247712387</v>
      </c>
    </row>
    <row r="120" spans="1:12" x14ac:dyDescent="0.3">
      <c r="A120">
        <v>11662</v>
      </c>
      <c r="B120" t="s">
        <v>22</v>
      </c>
      <c r="C120" t="s">
        <v>13</v>
      </c>
      <c r="D120">
        <v>4378</v>
      </c>
      <c r="E120">
        <v>4</v>
      </c>
      <c r="F120">
        <v>1</v>
      </c>
      <c r="G120">
        <v>1974</v>
      </c>
      <c r="H120">
        <v>1992460.497</v>
      </c>
      <c r="I120">
        <v>7959.0395060000001</v>
      </c>
      <c r="J120" t="s">
        <v>14</v>
      </c>
      <c r="K120" t="s">
        <v>15</v>
      </c>
      <c r="L120">
        <v>0.99664983249162453</v>
      </c>
    </row>
    <row r="121" spans="1:12" x14ac:dyDescent="0.3">
      <c r="A121">
        <v>11672</v>
      </c>
      <c r="B121" t="s">
        <v>12</v>
      </c>
      <c r="C121" t="s">
        <v>20</v>
      </c>
      <c r="D121">
        <v>2645</v>
      </c>
      <c r="E121">
        <v>3</v>
      </c>
      <c r="F121">
        <v>1</v>
      </c>
      <c r="G121">
        <v>1967</v>
      </c>
      <c r="H121">
        <v>1984923.318</v>
      </c>
      <c r="I121">
        <v>1511.141132</v>
      </c>
      <c r="J121" t="s">
        <v>21</v>
      </c>
      <c r="K121" t="s">
        <v>15</v>
      </c>
      <c r="L121">
        <v>0.99294964748237413</v>
      </c>
    </row>
    <row r="122" spans="1:12" x14ac:dyDescent="0.3">
      <c r="A122">
        <v>11682</v>
      </c>
      <c r="B122" t="s">
        <v>31</v>
      </c>
      <c r="C122" t="s">
        <v>17</v>
      </c>
      <c r="D122">
        <v>1104</v>
      </c>
      <c r="E122">
        <v>5</v>
      </c>
      <c r="F122">
        <v>2</v>
      </c>
      <c r="G122">
        <v>2017</v>
      </c>
      <c r="H122">
        <v>1981171.007</v>
      </c>
      <c r="I122">
        <v>2701.3267980000001</v>
      </c>
      <c r="J122" t="s">
        <v>18</v>
      </c>
      <c r="K122" t="s">
        <v>30</v>
      </c>
      <c r="L122">
        <v>0.99149957497874897</v>
      </c>
    </row>
    <row r="123" spans="1:12" x14ac:dyDescent="0.3">
      <c r="A123">
        <v>11972</v>
      </c>
      <c r="B123" t="s">
        <v>16</v>
      </c>
      <c r="C123" t="s">
        <v>33</v>
      </c>
      <c r="D123">
        <v>1023</v>
      </c>
      <c r="E123">
        <v>4</v>
      </c>
      <c r="F123">
        <v>2</v>
      </c>
      <c r="G123">
        <v>1974</v>
      </c>
      <c r="H123">
        <v>1997902.5330000001</v>
      </c>
      <c r="I123">
        <v>3380.7970030000001</v>
      </c>
      <c r="J123" t="s">
        <v>39</v>
      </c>
      <c r="K123" t="s">
        <v>30</v>
      </c>
      <c r="L123">
        <v>0.99889994499724988</v>
      </c>
    </row>
    <row r="124" spans="1:12" x14ac:dyDescent="0.3">
      <c r="A124">
        <v>12079</v>
      </c>
      <c r="B124" t="s">
        <v>22</v>
      </c>
      <c r="C124" t="s">
        <v>27</v>
      </c>
      <c r="D124">
        <v>3963</v>
      </c>
      <c r="E124">
        <v>5</v>
      </c>
      <c r="F124">
        <v>3</v>
      </c>
      <c r="G124">
        <v>1982</v>
      </c>
      <c r="H124">
        <v>1979782.7660000001</v>
      </c>
      <c r="I124">
        <v>1456.60285</v>
      </c>
      <c r="J124" t="s">
        <v>25</v>
      </c>
      <c r="K124" t="s">
        <v>15</v>
      </c>
      <c r="L124">
        <v>0.99109955497774893</v>
      </c>
    </row>
    <row r="125" spans="1:12" x14ac:dyDescent="0.3">
      <c r="A125">
        <v>12236</v>
      </c>
      <c r="B125" t="s">
        <v>16</v>
      </c>
      <c r="C125" t="s">
        <v>27</v>
      </c>
      <c r="D125">
        <v>987</v>
      </c>
      <c r="E125">
        <v>1</v>
      </c>
      <c r="F125">
        <v>2</v>
      </c>
      <c r="G125">
        <v>1981</v>
      </c>
      <c r="H125">
        <v>1984657.598</v>
      </c>
      <c r="I125">
        <v>862.93911109999999</v>
      </c>
      <c r="J125" t="s">
        <v>25</v>
      </c>
      <c r="K125" t="s">
        <v>15</v>
      </c>
      <c r="L125">
        <v>0.99279963998199905</v>
      </c>
    </row>
    <row r="126" spans="1:12" x14ac:dyDescent="0.3">
      <c r="A126">
        <v>12262</v>
      </c>
      <c r="B126" t="s">
        <v>12</v>
      </c>
      <c r="C126" t="s">
        <v>33</v>
      </c>
      <c r="D126">
        <v>3448</v>
      </c>
      <c r="E126">
        <v>5</v>
      </c>
      <c r="F126">
        <v>3</v>
      </c>
      <c r="G126">
        <v>1987</v>
      </c>
      <c r="H126">
        <v>1982823.568</v>
      </c>
      <c r="I126">
        <v>3425.1568510000002</v>
      </c>
      <c r="J126" t="s">
        <v>42</v>
      </c>
      <c r="K126" t="s">
        <v>30</v>
      </c>
      <c r="L126">
        <v>0.99219960998049905</v>
      </c>
    </row>
    <row r="127" spans="1:12" x14ac:dyDescent="0.3">
      <c r="A127">
        <v>12447</v>
      </c>
      <c r="B127" t="s">
        <v>31</v>
      </c>
      <c r="C127" t="s">
        <v>13</v>
      </c>
      <c r="D127">
        <v>1089</v>
      </c>
      <c r="E127">
        <v>5</v>
      </c>
      <c r="F127">
        <v>3</v>
      </c>
      <c r="G127">
        <v>1977</v>
      </c>
      <c r="H127">
        <v>1981501.2949999999</v>
      </c>
      <c r="I127">
        <v>7724.276339</v>
      </c>
      <c r="J127" t="s">
        <v>32</v>
      </c>
      <c r="K127" t="s">
        <v>30</v>
      </c>
      <c r="L127">
        <v>0.99164958247912394</v>
      </c>
    </row>
    <row r="128" spans="1:12" x14ac:dyDescent="0.3">
      <c r="A128">
        <v>12523</v>
      </c>
      <c r="B128" t="s">
        <v>31</v>
      </c>
      <c r="C128" t="s">
        <v>23</v>
      </c>
      <c r="D128">
        <v>4702</v>
      </c>
      <c r="E128">
        <v>2</v>
      </c>
      <c r="F128">
        <v>3</v>
      </c>
      <c r="G128">
        <v>1985</v>
      </c>
      <c r="H128">
        <v>1995126.246</v>
      </c>
      <c r="I128">
        <v>5615.2756140000001</v>
      </c>
      <c r="J128" t="s">
        <v>36</v>
      </c>
      <c r="K128" t="s">
        <v>30</v>
      </c>
      <c r="L128">
        <v>0.99739986999349972</v>
      </c>
    </row>
    <row r="129" spans="1:12" x14ac:dyDescent="0.3">
      <c r="A129">
        <v>12648</v>
      </c>
      <c r="B129" t="s">
        <v>22</v>
      </c>
      <c r="C129" t="s">
        <v>20</v>
      </c>
      <c r="D129">
        <v>3546</v>
      </c>
      <c r="E129">
        <v>2</v>
      </c>
      <c r="F129">
        <v>3</v>
      </c>
      <c r="G129">
        <v>2010</v>
      </c>
      <c r="H129">
        <v>1986307.219</v>
      </c>
      <c r="I129">
        <v>3427.443346</v>
      </c>
      <c r="J129" t="s">
        <v>41</v>
      </c>
      <c r="K129" t="s">
        <v>15</v>
      </c>
      <c r="L129">
        <v>0.99389969498474928</v>
      </c>
    </row>
    <row r="130" spans="1:12" x14ac:dyDescent="0.3">
      <c r="A130">
        <v>12649</v>
      </c>
      <c r="B130" t="s">
        <v>31</v>
      </c>
      <c r="C130" t="s">
        <v>13</v>
      </c>
      <c r="D130">
        <v>4094</v>
      </c>
      <c r="E130">
        <v>3</v>
      </c>
      <c r="F130">
        <v>3</v>
      </c>
      <c r="G130">
        <v>1999</v>
      </c>
      <c r="H130">
        <v>1995185.804</v>
      </c>
      <c r="I130">
        <v>1520.182329</v>
      </c>
      <c r="J130" t="s">
        <v>14</v>
      </c>
      <c r="K130" t="s">
        <v>30</v>
      </c>
      <c r="L130">
        <v>0.99744987249362471</v>
      </c>
    </row>
    <row r="131" spans="1:12" x14ac:dyDescent="0.3">
      <c r="A131">
        <v>12686</v>
      </c>
      <c r="B131" t="s">
        <v>31</v>
      </c>
      <c r="C131" t="s">
        <v>13</v>
      </c>
      <c r="D131">
        <v>3616</v>
      </c>
      <c r="E131">
        <v>1</v>
      </c>
      <c r="F131">
        <v>2</v>
      </c>
      <c r="G131">
        <v>2006</v>
      </c>
      <c r="H131">
        <v>1988938.443</v>
      </c>
      <c r="I131">
        <v>7534.1384529999996</v>
      </c>
      <c r="J131" t="s">
        <v>32</v>
      </c>
      <c r="K131" t="s">
        <v>15</v>
      </c>
      <c r="L131">
        <v>0.99519975998799937</v>
      </c>
    </row>
    <row r="132" spans="1:12" x14ac:dyDescent="0.3">
      <c r="A132">
        <v>12914</v>
      </c>
      <c r="B132" t="s">
        <v>12</v>
      </c>
      <c r="C132" t="s">
        <v>20</v>
      </c>
      <c r="D132">
        <v>3851</v>
      </c>
      <c r="E132">
        <v>4</v>
      </c>
      <c r="F132">
        <v>3</v>
      </c>
      <c r="G132">
        <v>1985</v>
      </c>
      <c r="H132">
        <v>1988729.0560000001</v>
      </c>
      <c r="I132">
        <v>3565.8321070000002</v>
      </c>
      <c r="J132" t="s">
        <v>41</v>
      </c>
      <c r="K132" t="s">
        <v>30</v>
      </c>
      <c r="L132">
        <v>0.99504975248762439</v>
      </c>
    </row>
    <row r="133" spans="1:12" x14ac:dyDescent="0.3">
      <c r="A133">
        <v>13282</v>
      </c>
      <c r="B133" t="s">
        <v>22</v>
      </c>
      <c r="C133" t="s">
        <v>33</v>
      </c>
      <c r="D133">
        <v>566</v>
      </c>
      <c r="E133">
        <v>2</v>
      </c>
      <c r="F133">
        <v>1</v>
      </c>
      <c r="G133">
        <v>2004</v>
      </c>
      <c r="H133">
        <v>1998089.297</v>
      </c>
      <c r="I133">
        <v>4088.9782700000001</v>
      </c>
      <c r="J133" t="s">
        <v>42</v>
      </c>
      <c r="K133" t="s">
        <v>30</v>
      </c>
      <c r="L133">
        <v>0.99904995249762485</v>
      </c>
    </row>
    <row r="134" spans="1:12" x14ac:dyDescent="0.3">
      <c r="A134">
        <v>13395</v>
      </c>
      <c r="B134" t="s">
        <v>16</v>
      </c>
      <c r="C134" t="s">
        <v>17</v>
      </c>
      <c r="D134">
        <v>2202</v>
      </c>
      <c r="E134">
        <v>1</v>
      </c>
      <c r="F134">
        <v>2</v>
      </c>
      <c r="G134">
        <v>1972</v>
      </c>
      <c r="H134">
        <v>1986060.7709999999</v>
      </c>
      <c r="I134">
        <v>1843.5964650000001</v>
      </c>
      <c r="J134" t="s">
        <v>40</v>
      </c>
      <c r="K134" t="s">
        <v>15</v>
      </c>
      <c r="L134">
        <v>0.9937496874843742</v>
      </c>
    </row>
    <row r="135" spans="1:12" x14ac:dyDescent="0.3">
      <c r="A135">
        <v>13423</v>
      </c>
      <c r="B135" t="s">
        <v>12</v>
      </c>
      <c r="C135" t="s">
        <v>13</v>
      </c>
      <c r="D135">
        <v>2461</v>
      </c>
      <c r="E135">
        <v>4</v>
      </c>
      <c r="F135">
        <v>1</v>
      </c>
      <c r="G135">
        <v>1995</v>
      </c>
      <c r="H135">
        <v>1988536.909</v>
      </c>
      <c r="I135">
        <v>5667.407991</v>
      </c>
      <c r="J135" t="s">
        <v>14</v>
      </c>
      <c r="K135" t="s">
        <v>15</v>
      </c>
      <c r="L135">
        <v>0.99494974748737441</v>
      </c>
    </row>
    <row r="136" spans="1:12" x14ac:dyDescent="0.3">
      <c r="A136">
        <v>13598</v>
      </c>
      <c r="B136" t="s">
        <v>12</v>
      </c>
      <c r="C136" t="s">
        <v>13</v>
      </c>
      <c r="D136">
        <v>3042</v>
      </c>
      <c r="E136">
        <v>5</v>
      </c>
      <c r="F136">
        <v>2</v>
      </c>
      <c r="G136">
        <v>1981</v>
      </c>
      <c r="H136">
        <v>1982639.87</v>
      </c>
      <c r="I136">
        <v>2789.4976280000001</v>
      </c>
      <c r="J136" t="s">
        <v>25</v>
      </c>
      <c r="K136" t="s">
        <v>30</v>
      </c>
      <c r="L136">
        <v>0.99214960748037406</v>
      </c>
    </row>
    <row r="137" spans="1:12" x14ac:dyDescent="0.3">
      <c r="A137">
        <v>13676</v>
      </c>
      <c r="B137" t="s">
        <v>22</v>
      </c>
      <c r="C137" t="s">
        <v>33</v>
      </c>
      <c r="D137">
        <v>886</v>
      </c>
      <c r="E137">
        <v>5</v>
      </c>
      <c r="F137">
        <v>2</v>
      </c>
      <c r="G137">
        <v>1975</v>
      </c>
      <c r="H137">
        <v>1998147.76</v>
      </c>
      <c r="I137">
        <v>6916.5743350000002</v>
      </c>
      <c r="J137" t="s">
        <v>42</v>
      </c>
      <c r="K137" t="s">
        <v>30</v>
      </c>
      <c r="L137">
        <v>0.99914995749787494</v>
      </c>
    </row>
    <row r="138" spans="1:12" x14ac:dyDescent="0.3">
      <c r="A138">
        <v>13889</v>
      </c>
      <c r="B138" t="s">
        <v>16</v>
      </c>
      <c r="C138" t="s">
        <v>20</v>
      </c>
      <c r="D138">
        <v>3355</v>
      </c>
      <c r="E138">
        <v>1</v>
      </c>
      <c r="F138">
        <v>2</v>
      </c>
      <c r="G138">
        <v>1988</v>
      </c>
      <c r="H138">
        <v>1985994.3189999999</v>
      </c>
      <c r="I138">
        <v>509.16278349999999</v>
      </c>
      <c r="J138" t="s">
        <v>41</v>
      </c>
      <c r="K138" t="s">
        <v>30</v>
      </c>
      <c r="L138">
        <v>0.99369968498424921</v>
      </c>
    </row>
    <row r="139" spans="1:12" x14ac:dyDescent="0.3">
      <c r="A139">
        <v>14033</v>
      </c>
      <c r="B139" t="s">
        <v>12</v>
      </c>
      <c r="C139" t="s">
        <v>13</v>
      </c>
      <c r="D139">
        <v>3955</v>
      </c>
      <c r="E139">
        <v>1</v>
      </c>
      <c r="F139">
        <v>3</v>
      </c>
      <c r="G139">
        <v>2006</v>
      </c>
      <c r="H139">
        <v>1995685.42</v>
      </c>
      <c r="I139">
        <v>774.24001399999997</v>
      </c>
      <c r="J139" t="s">
        <v>32</v>
      </c>
      <c r="K139" t="s">
        <v>30</v>
      </c>
      <c r="L139">
        <v>0.99779988999449976</v>
      </c>
    </row>
    <row r="140" spans="1:12" x14ac:dyDescent="0.3">
      <c r="A140">
        <v>14055</v>
      </c>
      <c r="B140" t="s">
        <v>31</v>
      </c>
      <c r="C140" t="s">
        <v>20</v>
      </c>
      <c r="D140">
        <v>2759</v>
      </c>
      <c r="E140">
        <v>3</v>
      </c>
      <c r="F140">
        <v>1</v>
      </c>
      <c r="G140">
        <v>2017</v>
      </c>
      <c r="H140">
        <v>1997368.0919999999</v>
      </c>
      <c r="I140">
        <v>6845.584621</v>
      </c>
      <c r="J140" t="s">
        <v>21</v>
      </c>
      <c r="K140" t="s">
        <v>30</v>
      </c>
      <c r="L140">
        <v>0.99854992749637483</v>
      </c>
    </row>
    <row r="141" spans="1:12" x14ac:dyDescent="0.3">
      <c r="A141">
        <v>14070</v>
      </c>
      <c r="B141" t="s">
        <v>19</v>
      </c>
      <c r="C141" t="s">
        <v>33</v>
      </c>
      <c r="D141">
        <v>1262</v>
      </c>
      <c r="E141">
        <v>3</v>
      </c>
      <c r="F141">
        <v>3</v>
      </c>
      <c r="G141">
        <v>2009</v>
      </c>
      <c r="H141">
        <v>1984699.871</v>
      </c>
      <c r="I141">
        <v>4435.1234809999996</v>
      </c>
      <c r="J141" t="s">
        <v>39</v>
      </c>
      <c r="K141" t="s">
        <v>26</v>
      </c>
      <c r="L141">
        <v>0.99284964248212415</v>
      </c>
    </row>
    <row r="142" spans="1:12" x14ac:dyDescent="0.3">
      <c r="A142">
        <v>14139</v>
      </c>
      <c r="B142" t="s">
        <v>22</v>
      </c>
      <c r="C142" t="s">
        <v>17</v>
      </c>
      <c r="D142">
        <v>2761</v>
      </c>
      <c r="E142">
        <v>3</v>
      </c>
      <c r="F142">
        <v>2</v>
      </c>
      <c r="G142">
        <v>1999</v>
      </c>
      <c r="H142">
        <v>1991125.112</v>
      </c>
      <c r="I142">
        <v>1453.8653750000001</v>
      </c>
      <c r="J142" t="s">
        <v>18</v>
      </c>
      <c r="K142" t="s">
        <v>15</v>
      </c>
      <c r="L142">
        <v>0.99584979248962446</v>
      </c>
    </row>
    <row r="143" spans="1:12" x14ac:dyDescent="0.3">
      <c r="A143">
        <v>14166</v>
      </c>
      <c r="B143" t="s">
        <v>12</v>
      </c>
      <c r="C143" t="s">
        <v>20</v>
      </c>
      <c r="D143">
        <v>3026</v>
      </c>
      <c r="E143">
        <v>2</v>
      </c>
      <c r="F143">
        <v>1</v>
      </c>
      <c r="G143">
        <v>1962</v>
      </c>
      <c r="H143">
        <v>1997881.6159999999</v>
      </c>
      <c r="I143">
        <v>3215.977973</v>
      </c>
      <c r="J143" t="s">
        <v>38</v>
      </c>
      <c r="K143" t="s">
        <v>30</v>
      </c>
      <c r="L143">
        <v>0.99884994249712489</v>
      </c>
    </row>
    <row r="144" spans="1:12" x14ac:dyDescent="0.3">
      <c r="A144">
        <v>14183</v>
      </c>
      <c r="B144" t="s">
        <v>16</v>
      </c>
      <c r="C144" t="s">
        <v>27</v>
      </c>
      <c r="D144">
        <v>3808</v>
      </c>
      <c r="E144">
        <v>4</v>
      </c>
      <c r="F144">
        <v>3</v>
      </c>
      <c r="G144">
        <v>1990</v>
      </c>
      <c r="H144">
        <v>1993047.8470000001</v>
      </c>
      <c r="I144">
        <v>4089.9997950000002</v>
      </c>
      <c r="J144" t="s">
        <v>28</v>
      </c>
      <c r="K144" t="s">
        <v>15</v>
      </c>
      <c r="L144">
        <v>0.99694984749237459</v>
      </c>
    </row>
    <row r="145" spans="1:12" x14ac:dyDescent="0.3">
      <c r="A145">
        <v>14238</v>
      </c>
      <c r="B145" t="s">
        <v>12</v>
      </c>
      <c r="C145" t="s">
        <v>27</v>
      </c>
      <c r="D145">
        <v>4223</v>
      </c>
      <c r="E145">
        <v>2</v>
      </c>
      <c r="F145">
        <v>1</v>
      </c>
      <c r="G145">
        <v>1977</v>
      </c>
      <c r="H145">
        <v>1988381.723</v>
      </c>
      <c r="I145">
        <v>3727.6681680000002</v>
      </c>
      <c r="J145" t="s">
        <v>29</v>
      </c>
      <c r="K145" t="s">
        <v>30</v>
      </c>
      <c r="L145">
        <v>0.99484974248712432</v>
      </c>
    </row>
    <row r="146" spans="1:12" x14ac:dyDescent="0.3">
      <c r="A146">
        <v>14349</v>
      </c>
      <c r="B146" t="s">
        <v>22</v>
      </c>
      <c r="C146" t="s">
        <v>23</v>
      </c>
      <c r="D146">
        <v>4431</v>
      </c>
      <c r="E146">
        <v>1</v>
      </c>
      <c r="F146">
        <v>1</v>
      </c>
      <c r="G146">
        <v>1987</v>
      </c>
      <c r="H146">
        <v>1990369.26</v>
      </c>
      <c r="I146">
        <v>3140.795329</v>
      </c>
      <c r="J146" t="s">
        <v>25</v>
      </c>
      <c r="K146" t="s">
        <v>30</v>
      </c>
      <c r="L146">
        <v>0.99549977498874942</v>
      </c>
    </row>
    <row r="147" spans="1:12" x14ac:dyDescent="0.3">
      <c r="A147">
        <v>14381</v>
      </c>
      <c r="B147" t="s">
        <v>22</v>
      </c>
      <c r="C147" t="s">
        <v>17</v>
      </c>
      <c r="D147">
        <v>4446</v>
      </c>
      <c r="E147">
        <v>3</v>
      </c>
      <c r="F147">
        <v>1</v>
      </c>
      <c r="G147">
        <v>1996</v>
      </c>
      <c r="H147">
        <v>1990552.996</v>
      </c>
      <c r="I147">
        <v>2527.3627259999998</v>
      </c>
      <c r="J147" t="s">
        <v>35</v>
      </c>
      <c r="K147" t="s">
        <v>30</v>
      </c>
      <c r="L147">
        <v>0.99554977748887441</v>
      </c>
    </row>
    <row r="148" spans="1:12" x14ac:dyDescent="0.3">
      <c r="A148">
        <v>14421</v>
      </c>
      <c r="B148" t="s">
        <v>16</v>
      </c>
      <c r="C148" t="s">
        <v>27</v>
      </c>
      <c r="D148">
        <v>3808</v>
      </c>
      <c r="E148">
        <v>5</v>
      </c>
      <c r="F148">
        <v>3</v>
      </c>
      <c r="G148">
        <v>2015</v>
      </c>
      <c r="H148">
        <v>1978192.7890000001</v>
      </c>
      <c r="I148">
        <v>2823.2348929999998</v>
      </c>
      <c r="J148" t="s">
        <v>25</v>
      </c>
      <c r="K148" t="s">
        <v>30</v>
      </c>
      <c r="L148">
        <v>0.9900495024751238</v>
      </c>
    </row>
    <row r="149" spans="1:12" x14ac:dyDescent="0.3">
      <c r="A149">
        <v>14534</v>
      </c>
      <c r="B149" t="s">
        <v>22</v>
      </c>
      <c r="C149" t="s">
        <v>20</v>
      </c>
      <c r="D149">
        <v>1045</v>
      </c>
      <c r="E149">
        <v>2</v>
      </c>
      <c r="F149">
        <v>2</v>
      </c>
      <c r="G149">
        <v>1958</v>
      </c>
      <c r="H149">
        <v>1980975.2720000001</v>
      </c>
      <c r="I149">
        <v>2258.0229020000002</v>
      </c>
      <c r="J149" t="s">
        <v>21</v>
      </c>
      <c r="K149" t="s">
        <v>15</v>
      </c>
      <c r="L149">
        <v>0.99144957247862397</v>
      </c>
    </row>
    <row r="150" spans="1:12" x14ac:dyDescent="0.3">
      <c r="A150">
        <v>14838</v>
      </c>
      <c r="B150" t="s">
        <v>16</v>
      </c>
      <c r="C150" t="s">
        <v>13</v>
      </c>
      <c r="D150">
        <v>862</v>
      </c>
      <c r="E150">
        <v>4</v>
      </c>
      <c r="F150">
        <v>1</v>
      </c>
      <c r="G150">
        <v>2022</v>
      </c>
      <c r="H150">
        <v>1996699.6569999999</v>
      </c>
      <c r="I150">
        <v>5016.7196329999997</v>
      </c>
      <c r="J150" t="s">
        <v>25</v>
      </c>
      <c r="K150" t="s">
        <v>30</v>
      </c>
      <c r="L150">
        <v>0.9981499074953748</v>
      </c>
    </row>
    <row r="151" spans="1:12" x14ac:dyDescent="0.3">
      <c r="A151">
        <v>14898</v>
      </c>
      <c r="B151" t="s">
        <v>12</v>
      </c>
      <c r="C151" t="s">
        <v>20</v>
      </c>
      <c r="D151">
        <v>3151</v>
      </c>
      <c r="E151">
        <v>4</v>
      </c>
      <c r="F151">
        <v>2</v>
      </c>
      <c r="G151">
        <v>1975</v>
      </c>
      <c r="H151">
        <v>1993698.2209999999</v>
      </c>
      <c r="I151">
        <v>3208.959738</v>
      </c>
      <c r="J151" t="s">
        <v>41</v>
      </c>
      <c r="K151" t="s">
        <v>15</v>
      </c>
      <c r="L151">
        <v>0.99714985749287466</v>
      </c>
    </row>
    <row r="152" spans="1:12" x14ac:dyDescent="0.3">
      <c r="A152">
        <v>15145</v>
      </c>
      <c r="B152" t="s">
        <v>31</v>
      </c>
      <c r="C152" t="s">
        <v>20</v>
      </c>
      <c r="D152">
        <v>1379</v>
      </c>
      <c r="E152">
        <v>4</v>
      </c>
      <c r="F152">
        <v>2</v>
      </c>
      <c r="G152">
        <v>2001</v>
      </c>
      <c r="H152">
        <v>1996426.044</v>
      </c>
      <c r="I152">
        <v>2602.2362389999998</v>
      </c>
      <c r="J152" t="s">
        <v>41</v>
      </c>
      <c r="K152" t="s">
        <v>30</v>
      </c>
      <c r="L152">
        <v>0.99809990499524981</v>
      </c>
    </row>
    <row r="153" spans="1:12" x14ac:dyDescent="0.3">
      <c r="A153">
        <v>15240</v>
      </c>
      <c r="B153" t="s">
        <v>12</v>
      </c>
      <c r="C153" t="s">
        <v>13</v>
      </c>
      <c r="D153">
        <v>4164</v>
      </c>
      <c r="E153">
        <v>1</v>
      </c>
      <c r="F153">
        <v>2</v>
      </c>
      <c r="G153">
        <v>1978</v>
      </c>
      <c r="H153">
        <v>1989635.642</v>
      </c>
      <c r="I153">
        <v>2255.7238750000001</v>
      </c>
      <c r="J153" t="s">
        <v>14</v>
      </c>
      <c r="K153" t="s">
        <v>15</v>
      </c>
      <c r="L153">
        <v>0.99534976748837445</v>
      </c>
    </row>
    <row r="154" spans="1:12" x14ac:dyDescent="0.3">
      <c r="A154">
        <v>15474</v>
      </c>
      <c r="B154" t="s">
        <v>31</v>
      </c>
      <c r="C154" t="s">
        <v>17</v>
      </c>
      <c r="D154">
        <v>993</v>
      </c>
      <c r="E154">
        <v>2</v>
      </c>
      <c r="F154">
        <v>3</v>
      </c>
      <c r="G154">
        <v>1997</v>
      </c>
      <c r="H154">
        <v>1999154.5989999999</v>
      </c>
      <c r="I154">
        <v>2615.322862</v>
      </c>
      <c r="J154" t="s">
        <v>18</v>
      </c>
      <c r="K154" t="s">
        <v>15</v>
      </c>
      <c r="L154">
        <v>0.99964998249912496</v>
      </c>
    </row>
    <row r="155" spans="1:12" x14ac:dyDescent="0.3">
      <c r="A155">
        <v>15714</v>
      </c>
      <c r="B155" t="s">
        <v>22</v>
      </c>
      <c r="C155" t="s">
        <v>20</v>
      </c>
      <c r="D155">
        <v>603</v>
      </c>
      <c r="E155">
        <v>5</v>
      </c>
      <c r="F155">
        <v>2</v>
      </c>
      <c r="G155">
        <v>1957</v>
      </c>
      <c r="H155">
        <v>1984705.246</v>
      </c>
      <c r="I155">
        <v>3299.931724</v>
      </c>
      <c r="J155" t="s">
        <v>38</v>
      </c>
      <c r="K155" t="s">
        <v>30</v>
      </c>
      <c r="L155">
        <v>0.99289964498224914</v>
      </c>
    </row>
    <row r="156" spans="1:12" x14ac:dyDescent="0.3">
      <c r="A156">
        <v>15733</v>
      </c>
      <c r="B156" t="s">
        <v>31</v>
      </c>
      <c r="C156" t="s">
        <v>17</v>
      </c>
      <c r="D156">
        <v>4150</v>
      </c>
      <c r="E156">
        <v>3</v>
      </c>
      <c r="F156">
        <v>1</v>
      </c>
      <c r="G156">
        <v>1956</v>
      </c>
      <c r="H156">
        <v>1998870.7879999999</v>
      </c>
      <c r="I156">
        <v>1351.1853590000001</v>
      </c>
      <c r="J156" t="s">
        <v>35</v>
      </c>
      <c r="K156" t="s">
        <v>26</v>
      </c>
      <c r="L156">
        <v>0.99929996499824991</v>
      </c>
    </row>
    <row r="157" spans="1:12" x14ac:dyDescent="0.3">
      <c r="A157">
        <v>15738</v>
      </c>
      <c r="B157" t="s">
        <v>12</v>
      </c>
      <c r="C157" t="s">
        <v>20</v>
      </c>
      <c r="D157">
        <v>2393</v>
      </c>
      <c r="E157">
        <v>5</v>
      </c>
      <c r="F157">
        <v>2</v>
      </c>
      <c r="G157">
        <v>1981</v>
      </c>
      <c r="H157">
        <v>1995416.182</v>
      </c>
      <c r="I157">
        <v>1534.6308329999999</v>
      </c>
      <c r="J157" t="s">
        <v>38</v>
      </c>
      <c r="K157" t="s">
        <v>15</v>
      </c>
      <c r="L157">
        <v>0.99764988249412467</v>
      </c>
    </row>
    <row r="158" spans="1:12" x14ac:dyDescent="0.3">
      <c r="A158">
        <v>15803</v>
      </c>
      <c r="B158" t="s">
        <v>22</v>
      </c>
      <c r="C158" t="s">
        <v>27</v>
      </c>
      <c r="D158">
        <v>808</v>
      </c>
      <c r="E158">
        <v>2</v>
      </c>
      <c r="F158">
        <v>2</v>
      </c>
      <c r="G158">
        <v>2001</v>
      </c>
      <c r="H158">
        <v>1985841.9850000001</v>
      </c>
      <c r="I158">
        <v>6098.5810410000004</v>
      </c>
      <c r="J158" t="s">
        <v>29</v>
      </c>
      <c r="K158" t="s">
        <v>30</v>
      </c>
      <c r="L158">
        <v>0.99359967998399923</v>
      </c>
    </row>
    <row r="159" spans="1:12" x14ac:dyDescent="0.3">
      <c r="A159">
        <v>15840</v>
      </c>
      <c r="B159" t="s">
        <v>31</v>
      </c>
      <c r="C159" t="s">
        <v>13</v>
      </c>
      <c r="D159">
        <v>4085</v>
      </c>
      <c r="E159">
        <v>2</v>
      </c>
      <c r="F159">
        <v>3</v>
      </c>
      <c r="G159">
        <v>2000</v>
      </c>
      <c r="H159">
        <v>1999573.3149999999</v>
      </c>
      <c r="I159">
        <v>7799.6823350000004</v>
      </c>
      <c r="J159" t="s">
        <v>32</v>
      </c>
      <c r="K159" t="s">
        <v>30</v>
      </c>
      <c r="L159">
        <v>0.99979998999949993</v>
      </c>
    </row>
    <row r="160" spans="1:12" x14ac:dyDescent="0.3">
      <c r="A160">
        <v>16003</v>
      </c>
      <c r="B160" t="s">
        <v>31</v>
      </c>
      <c r="C160" t="s">
        <v>27</v>
      </c>
      <c r="D160">
        <v>1979</v>
      </c>
      <c r="E160">
        <v>2</v>
      </c>
      <c r="F160">
        <v>2</v>
      </c>
      <c r="G160">
        <v>1976</v>
      </c>
      <c r="H160">
        <v>1987998.8529999999</v>
      </c>
      <c r="I160">
        <v>843.25063130000001</v>
      </c>
      <c r="J160" t="s">
        <v>29</v>
      </c>
      <c r="K160" t="s">
        <v>15</v>
      </c>
      <c r="L160">
        <v>0.99469973498674935</v>
      </c>
    </row>
    <row r="161" spans="1:12" x14ac:dyDescent="0.3">
      <c r="A161">
        <v>16130</v>
      </c>
      <c r="B161" t="s">
        <v>16</v>
      </c>
      <c r="C161" t="s">
        <v>23</v>
      </c>
      <c r="D161">
        <v>1344</v>
      </c>
      <c r="E161">
        <v>5</v>
      </c>
      <c r="F161">
        <v>2</v>
      </c>
      <c r="G161">
        <v>1980</v>
      </c>
      <c r="H161">
        <v>1989135.077</v>
      </c>
      <c r="I161">
        <v>646.7531338</v>
      </c>
      <c r="J161" t="s">
        <v>24</v>
      </c>
      <c r="K161" t="s">
        <v>26</v>
      </c>
      <c r="L161">
        <v>0.99524976248812436</v>
      </c>
    </row>
    <row r="162" spans="1:12" x14ac:dyDescent="0.3">
      <c r="A162">
        <v>16448</v>
      </c>
      <c r="B162" t="s">
        <v>22</v>
      </c>
      <c r="C162" t="s">
        <v>27</v>
      </c>
      <c r="D162">
        <v>3548</v>
      </c>
      <c r="E162">
        <v>2</v>
      </c>
      <c r="F162">
        <v>1</v>
      </c>
      <c r="G162">
        <v>1965</v>
      </c>
      <c r="H162">
        <v>1988657.2450000001</v>
      </c>
      <c r="I162">
        <v>614.13893410000003</v>
      </c>
      <c r="J162" t="s">
        <v>25</v>
      </c>
      <c r="K162" t="s">
        <v>30</v>
      </c>
      <c r="L162">
        <v>0.9949997499874994</v>
      </c>
    </row>
    <row r="163" spans="1:12" x14ac:dyDescent="0.3">
      <c r="A163">
        <v>16452</v>
      </c>
      <c r="B163" t="s">
        <v>12</v>
      </c>
      <c r="C163" t="s">
        <v>27</v>
      </c>
      <c r="D163">
        <v>1647</v>
      </c>
      <c r="E163">
        <v>3</v>
      </c>
      <c r="F163">
        <v>1</v>
      </c>
      <c r="G163">
        <v>1975</v>
      </c>
      <c r="H163">
        <v>1995985.96</v>
      </c>
      <c r="I163">
        <v>1039.126168</v>
      </c>
      <c r="J163" t="s">
        <v>25</v>
      </c>
      <c r="K163" t="s">
        <v>26</v>
      </c>
      <c r="L163">
        <v>0.99789989499474974</v>
      </c>
    </row>
    <row r="164" spans="1:12" x14ac:dyDescent="0.3">
      <c r="A164">
        <v>16474</v>
      </c>
      <c r="B164" t="s">
        <v>31</v>
      </c>
      <c r="C164" t="s">
        <v>33</v>
      </c>
      <c r="D164">
        <v>569</v>
      </c>
      <c r="E164">
        <v>5</v>
      </c>
      <c r="F164">
        <v>3</v>
      </c>
      <c r="G164">
        <v>1965</v>
      </c>
      <c r="H164">
        <v>1999111.43</v>
      </c>
      <c r="I164">
        <v>7307.1974840000003</v>
      </c>
      <c r="J164" t="s">
        <v>34</v>
      </c>
      <c r="K164" t="s">
        <v>15</v>
      </c>
      <c r="L164">
        <v>0.99949997499874998</v>
      </c>
    </row>
    <row r="165" spans="1:12" x14ac:dyDescent="0.3">
      <c r="A165">
        <v>16548</v>
      </c>
      <c r="B165" t="s">
        <v>12</v>
      </c>
      <c r="C165" t="s">
        <v>13</v>
      </c>
      <c r="D165">
        <v>2749</v>
      </c>
      <c r="E165">
        <v>4</v>
      </c>
      <c r="F165">
        <v>1</v>
      </c>
      <c r="G165">
        <v>1994</v>
      </c>
      <c r="H165">
        <v>1987100.6159999999</v>
      </c>
      <c r="I165">
        <v>2916.7594519999998</v>
      </c>
      <c r="J165" t="s">
        <v>25</v>
      </c>
      <c r="K165" t="s">
        <v>15</v>
      </c>
      <c r="L165">
        <v>0.99419970998549922</v>
      </c>
    </row>
    <row r="166" spans="1:12" x14ac:dyDescent="0.3">
      <c r="A166">
        <v>16679</v>
      </c>
      <c r="B166" t="s">
        <v>12</v>
      </c>
      <c r="C166" t="s">
        <v>13</v>
      </c>
      <c r="D166">
        <v>4867</v>
      </c>
      <c r="E166">
        <v>3</v>
      </c>
      <c r="F166">
        <v>3</v>
      </c>
      <c r="G166">
        <v>1993</v>
      </c>
      <c r="H166">
        <v>1991561.436</v>
      </c>
      <c r="I166">
        <v>2406.5480440000001</v>
      </c>
      <c r="J166" t="s">
        <v>32</v>
      </c>
      <c r="K166" t="s">
        <v>15</v>
      </c>
      <c r="L166">
        <v>0.99629981499074949</v>
      </c>
    </row>
    <row r="167" spans="1:12" x14ac:dyDescent="0.3">
      <c r="A167">
        <v>16758</v>
      </c>
      <c r="B167" t="s">
        <v>22</v>
      </c>
      <c r="C167" t="s">
        <v>20</v>
      </c>
      <c r="D167">
        <v>2971</v>
      </c>
      <c r="E167">
        <v>2</v>
      </c>
      <c r="F167">
        <v>2</v>
      </c>
      <c r="G167">
        <v>2000</v>
      </c>
      <c r="H167">
        <v>1987970.365</v>
      </c>
      <c r="I167">
        <v>2625.9612630000001</v>
      </c>
      <c r="J167" t="s">
        <v>38</v>
      </c>
      <c r="K167" t="s">
        <v>15</v>
      </c>
      <c r="L167">
        <v>0.99464973248662436</v>
      </c>
    </row>
    <row r="168" spans="1:12" x14ac:dyDescent="0.3">
      <c r="A168">
        <v>16809</v>
      </c>
      <c r="B168" t="s">
        <v>22</v>
      </c>
      <c r="C168" t="s">
        <v>13</v>
      </c>
      <c r="D168">
        <v>673</v>
      </c>
      <c r="E168">
        <v>1</v>
      </c>
      <c r="F168">
        <v>1</v>
      </c>
      <c r="G168">
        <v>1989</v>
      </c>
      <c r="H168">
        <v>1986842.139</v>
      </c>
      <c r="I168">
        <v>6464.6944199999998</v>
      </c>
      <c r="J168" t="s">
        <v>14</v>
      </c>
      <c r="K168" t="s">
        <v>30</v>
      </c>
      <c r="L168">
        <v>0.99409970498524924</v>
      </c>
    </row>
    <row r="169" spans="1:12" x14ac:dyDescent="0.3">
      <c r="A169">
        <v>16896</v>
      </c>
      <c r="B169" t="s">
        <v>16</v>
      </c>
      <c r="C169" t="s">
        <v>27</v>
      </c>
      <c r="D169">
        <v>3827</v>
      </c>
      <c r="E169">
        <v>2</v>
      </c>
      <c r="F169">
        <v>3</v>
      </c>
      <c r="G169">
        <v>1965</v>
      </c>
      <c r="H169">
        <v>1997646.476</v>
      </c>
      <c r="I169">
        <v>3629.1218429999999</v>
      </c>
      <c r="J169" t="s">
        <v>25</v>
      </c>
      <c r="K169" t="s">
        <v>30</v>
      </c>
      <c r="L169">
        <v>0.9987499374968748</v>
      </c>
    </row>
    <row r="170" spans="1:12" x14ac:dyDescent="0.3">
      <c r="A170">
        <v>17196</v>
      </c>
      <c r="B170" t="s">
        <v>12</v>
      </c>
      <c r="C170" t="s">
        <v>20</v>
      </c>
      <c r="D170">
        <v>2154</v>
      </c>
      <c r="E170">
        <v>5</v>
      </c>
      <c r="F170">
        <v>1</v>
      </c>
      <c r="G170">
        <v>1978</v>
      </c>
      <c r="H170">
        <v>1979421.8019999999</v>
      </c>
      <c r="I170">
        <v>6334.1007319999999</v>
      </c>
      <c r="J170" t="s">
        <v>21</v>
      </c>
      <c r="K170" t="s">
        <v>15</v>
      </c>
      <c r="L170">
        <v>0.99079953997699888</v>
      </c>
    </row>
    <row r="171" spans="1:12" x14ac:dyDescent="0.3">
      <c r="A171">
        <v>17265</v>
      </c>
      <c r="B171" t="s">
        <v>12</v>
      </c>
      <c r="C171" t="s">
        <v>27</v>
      </c>
      <c r="D171">
        <v>551</v>
      </c>
      <c r="E171">
        <v>5</v>
      </c>
      <c r="F171">
        <v>3</v>
      </c>
      <c r="G171">
        <v>2004</v>
      </c>
      <c r="H171">
        <v>1979249.2709999999</v>
      </c>
      <c r="I171">
        <v>7472.6953030000004</v>
      </c>
      <c r="J171" t="s">
        <v>29</v>
      </c>
      <c r="K171" t="s">
        <v>30</v>
      </c>
      <c r="L171">
        <v>0.9906495324766238</v>
      </c>
    </row>
    <row r="172" spans="1:12" x14ac:dyDescent="0.3">
      <c r="A172">
        <v>17549</v>
      </c>
      <c r="B172" t="s">
        <v>22</v>
      </c>
      <c r="C172" t="s">
        <v>13</v>
      </c>
      <c r="D172">
        <v>4309</v>
      </c>
      <c r="E172">
        <v>2</v>
      </c>
      <c r="F172">
        <v>3</v>
      </c>
      <c r="G172">
        <v>2021</v>
      </c>
      <c r="H172">
        <v>1985779.192</v>
      </c>
      <c r="I172">
        <v>3260.2075970000001</v>
      </c>
      <c r="J172" t="s">
        <v>32</v>
      </c>
      <c r="K172" t="s">
        <v>15</v>
      </c>
      <c r="L172">
        <v>0.99354967748387424</v>
      </c>
    </row>
    <row r="173" spans="1:12" x14ac:dyDescent="0.3">
      <c r="A173">
        <v>17637</v>
      </c>
      <c r="B173" t="s">
        <v>16</v>
      </c>
      <c r="C173" t="s">
        <v>33</v>
      </c>
      <c r="D173">
        <v>3748</v>
      </c>
      <c r="E173">
        <v>5</v>
      </c>
      <c r="F173">
        <v>2</v>
      </c>
      <c r="G173">
        <v>2019</v>
      </c>
      <c r="H173">
        <v>1985116.6070000001</v>
      </c>
      <c r="I173">
        <v>7012.1702079999995</v>
      </c>
      <c r="J173" t="s">
        <v>37</v>
      </c>
      <c r="K173" t="s">
        <v>15</v>
      </c>
      <c r="L173">
        <v>0.9930996549827491</v>
      </c>
    </row>
    <row r="174" spans="1:12" x14ac:dyDescent="0.3">
      <c r="A174">
        <v>17805</v>
      </c>
      <c r="B174" t="s">
        <v>22</v>
      </c>
      <c r="C174" t="s">
        <v>13</v>
      </c>
      <c r="D174">
        <v>2028</v>
      </c>
      <c r="E174">
        <v>1</v>
      </c>
      <c r="F174">
        <v>3</v>
      </c>
      <c r="G174">
        <v>1990</v>
      </c>
      <c r="H174">
        <v>1985299.952</v>
      </c>
      <c r="I174">
        <v>3730.8531309999998</v>
      </c>
      <c r="J174" t="s">
        <v>14</v>
      </c>
      <c r="K174" t="s">
        <v>15</v>
      </c>
      <c r="L174">
        <v>0.99324966248312418</v>
      </c>
    </row>
    <row r="175" spans="1:12" x14ac:dyDescent="0.3">
      <c r="A175">
        <v>17808</v>
      </c>
      <c r="B175" t="s">
        <v>31</v>
      </c>
      <c r="C175" t="s">
        <v>17</v>
      </c>
      <c r="D175">
        <v>2261</v>
      </c>
      <c r="E175">
        <v>3</v>
      </c>
      <c r="F175">
        <v>2</v>
      </c>
      <c r="G175">
        <v>2018</v>
      </c>
      <c r="H175">
        <v>1995241.8910000001</v>
      </c>
      <c r="I175">
        <v>4339.4916659999999</v>
      </c>
      <c r="J175" t="s">
        <v>35</v>
      </c>
      <c r="K175" t="s">
        <v>15</v>
      </c>
      <c r="L175">
        <v>0.9974998749937497</v>
      </c>
    </row>
    <row r="176" spans="1:12" x14ac:dyDescent="0.3">
      <c r="A176">
        <v>17872</v>
      </c>
      <c r="B176" t="s">
        <v>16</v>
      </c>
      <c r="C176" t="s">
        <v>13</v>
      </c>
      <c r="D176">
        <v>3939</v>
      </c>
      <c r="E176">
        <v>4</v>
      </c>
      <c r="F176">
        <v>2</v>
      </c>
      <c r="G176">
        <v>1989</v>
      </c>
      <c r="H176">
        <v>1995879.9180000001</v>
      </c>
      <c r="I176">
        <v>1698.123511</v>
      </c>
      <c r="J176" t="s">
        <v>32</v>
      </c>
      <c r="K176" t="s">
        <v>15</v>
      </c>
      <c r="L176">
        <v>0.99784989249462475</v>
      </c>
    </row>
    <row r="177" spans="1:12" x14ac:dyDescent="0.3">
      <c r="A177">
        <v>17916</v>
      </c>
      <c r="B177" t="s">
        <v>16</v>
      </c>
      <c r="C177" t="s">
        <v>33</v>
      </c>
      <c r="D177">
        <v>4107</v>
      </c>
      <c r="E177">
        <v>5</v>
      </c>
      <c r="F177">
        <v>1</v>
      </c>
      <c r="G177">
        <v>1987</v>
      </c>
      <c r="H177">
        <v>1988107.9620000001</v>
      </c>
      <c r="I177">
        <v>7477.886047</v>
      </c>
      <c r="J177" t="s">
        <v>39</v>
      </c>
      <c r="K177" t="s">
        <v>15</v>
      </c>
      <c r="L177">
        <v>0.99479973998699933</v>
      </c>
    </row>
    <row r="178" spans="1:12" x14ac:dyDescent="0.3">
      <c r="A178">
        <v>17926</v>
      </c>
      <c r="B178" t="s">
        <v>22</v>
      </c>
      <c r="C178" t="s">
        <v>33</v>
      </c>
      <c r="D178">
        <v>3091</v>
      </c>
      <c r="E178">
        <v>5</v>
      </c>
      <c r="F178">
        <v>1</v>
      </c>
      <c r="G178">
        <v>1985</v>
      </c>
      <c r="H178">
        <v>1983508.6629999999</v>
      </c>
      <c r="I178">
        <v>3469.351095</v>
      </c>
      <c r="J178" t="s">
        <v>42</v>
      </c>
      <c r="K178" t="s">
        <v>15</v>
      </c>
      <c r="L178">
        <v>0.99259962998149909</v>
      </c>
    </row>
    <row r="179" spans="1:12" x14ac:dyDescent="0.3">
      <c r="A179">
        <v>17927</v>
      </c>
      <c r="B179" t="s">
        <v>31</v>
      </c>
      <c r="C179" t="s">
        <v>23</v>
      </c>
      <c r="D179">
        <v>689</v>
      </c>
      <c r="E179">
        <v>1</v>
      </c>
      <c r="F179">
        <v>3</v>
      </c>
      <c r="G179">
        <v>1988</v>
      </c>
      <c r="H179">
        <v>1992480.1669999999</v>
      </c>
      <c r="I179">
        <v>7778.4200499999997</v>
      </c>
      <c r="J179" t="s">
        <v>24</v>
      </c>
      <c r="K179" t="s">
        <v>15</v>
      </c>
      <c r="L179">
        <v>0.99669983499174963</v>
      </c>
    </row>
    <row r="180" spans="1:12" x14ac:dyDescent="0.3">
      <c r="A180">
        <v>18005</v>
      </c>
      <c r="B180" t="s">
        <v>12</v>
      </c>
      <c r="C180" t="s">
        <v>17</v>
      </c>
      <c r="D180">
        <v>1262</v>
      </c>
      <c r="E180">
        <v>3</v>
      </c>
      <c r="F180">
        <v>3</v>
      </c>
      <c r="G180">
        <v>1950</v>
      </c>
      <c r="H180">
        <v>1987181.997</v>
      </c>
      <c r="I180">
        <v>3656.371811</v>
      </c>
      <c r="J180" t="s">
        <v>40</v>
      </c>
      <c r="K180" t="s">
        <v>15</v>
      </c>
      <c r="L180">
        <v>0.99429971498574932</v>
      </c>
    </row>
    <row r="181" spans="1:12" x14ac:dyDescent="0.3">
      <c r="A181">
        <v>18185</v>
      </c>
      <c r="B181" t="s">
        <v>31</v>
      </c>
      <c r="C181" t="s">
        <v>33</v>
      </c>
      <c r="D181">
        <v>4879</v>
      </c>
      <c r="E181">
        <v>3</v>
      </c>
      <c r="F181">
        <v>1</v>
      </c>
      <c r="G181">
        <v>2005</v>
      </c>
      <c r="H181">
        <v>1991633.2549999999</v>
      </c>
      <c r="I181">
        <v>1673.1904770000001</v>
      </c>
      <c r="J181" t="s">
        <v>37</v>
      </c>
      <c r="K181" t="s">
        <v>15</v>
      </c>
      <c r="L181">
        <v>0.99634981749087459</v>
      </c>
    </row>
    <row r="182" spans="1:12" x14ac:dyDescent="0.3">
      <c r="A182">
        <v>18263</v>
      </c>
      <c r="B182" t="s">
        <v>12</v>
      </c>
      <c r="C182" t="s">
        <v>17</v>
      </c>
      <c r="D182">
        <v>4403</v>
      </c>
      <c r="E182">
        <v>5</v>
      </c>
      <c r="F182">
        <v>1</v>
      </c>
      <c r="G182">
        <v>1981</v>
      </c>
      <c r="H182">
        <v>1991331.3959999999</v>
      </c>
      <c r="I182">
        <v>4027.87952</v>
      </c>
      <c r="J182" t="s">
        <v>40</v>
      </c>
      <c r="K182" t="s">
        <v>15</v>
      </c>
      <c r="L182">
        <v>0.99599979998999955</v>
      </c>
    </row>
    <row r="183" spans="1:12" x14ac:dyDescent="0.3">
      <c r="A183">
        <v>18471</v>
      </c>
      <c r="B183" t="s">
        <v>22</v>
      </c>
      <c r="C183" t="s">
        <v>33</v>
      </c>
      <c r="D183">
        <v>4138</v>
      </c>
      <c r="E183">
        <v>1</v>
      </c>
      <c r="F183">
        <v>2</v>
      </c>
      <c r="G183">
        <v>1984</v>
      </c>
      <c r="H183">
        <v>1992595.9820000001</v>
      </c>
      <c r="I183">
        <v>4624.2828170000003</v>
      </c>
      <c r="J183" t="s">
        <v>42</v>
      </c>
      <c r="K183" t="s">
        <v>30</v>
      </c>
      <c r="L183">
        <v>0.99674983749187462</v>
      </c>
    </row>
    <row r="184" spans="1:12" x14ac:dyDescent="0.3">
      <c r="A184">
        <v>18510</v>
      </c>
      <c r="B184" t="s">
        <v>31</v>
      </c>
      <c r="C184" t="s">
        <v>13</v>
      </c>
      <c r="D184">
        <v>2681</v>
      </c>
      <c r="E184">
        <v>5</v>
      </c>
      <c r="F184">
        <v>3</v>
      </c>
      <c r="G184">
        <v>1974</v>
      </c>
      <c r="H184">
        <v>1981196.088</v>
      </c>
      <c r="I184">
        <v>901.89466370000002</v>
      </c>
      <c r="J184" t="s">
        <v>25</v>
      </c>
      <c r="K184" t="s">
        <v>15</v>
      </c>
      <c r="L184">
        <v>0.99154957747887396</v>
      </c>
    </row>
    <row r="185" spans="1:12" x14ac:dyDescent="0.3">
      <c r="A185">
        <v>18515</v>
      </c>
      <c r="B185" t="s">
        <v>22</v>
      </c>
      <c r="C185" t="s">
        <v>13</v>
      </c>
      <c r="D185">
        <v>3881</v>
      </c>
      <c r="E185">
        <v>2</v>
      </c>
      <c r="F185">
        <v>2</v>
      </c>
      <c r="G185">
        <v>1977</v>
      </c>
      <c r="H185">
        <v>1991181.1580000001</v>
      </c>
      <c r="I185">
        <v>1129.7945910000001</v>
      </c>
      <c r="J185" t="s">
        <v>32</v>
      </c>
      <c r="K185" t="s">
        <v>30</v>
      </c>
      <c r="L185">
        <v>0.99589979498974945</v>
      </c>
    </row>
    <row r="186" spans="1:12" x14ac:dyDescent="0.3">
      <c r="A186">
        <v>18517</v>
      </c>
      <c r="B186" t="s">
        <v>12</v>
      </c>
      <c r="C186" t="s">
        <v>17</v>
      </c>
      <c r="D186">
        <v>4814</v>
      </c>
      <c r="E186">
        <v>3</v>
      </c>
      <c r="F186">
        <v>1</v>
      </c>
      <c r="G186">
        <v>1957</v>
      </c>
      <c r="H186">
        <v>1990148.04</v>
      </c>
      <c r="I186">
        <v>3106.8844130000002</v>
      </c>
      <c r="J186" t="s">
        <v>18</v>
      </c>
      <c r="K186" t="s">
        <v>15</v>
      </c>
      <c r="L186">
        <v>0.99544977248862443</v>
      </c>
    </row>
    <row r="187" spans="1:12" x14ac:dyDescent="0.3">
      <c r="A187">
        <v>18647</v>
      </c>
      <c r="B187" t="s">
        <v>31</v>
      </c>
      <c r="C187" t="s">
        <v>17</v>
      </c>
      <c r="D187">
        <v>1228</v>
      </c>
      <c r="E187">
        <v>3</v>
      </c>
      <c r="F187">
        <v>2</v>
      </c>
      <c r="G187">
        <v>2000</v>
      </c>
      <c r="H187">
        <v>1978688.977</v>
      </c>
      <c r="I187">
        <v>7729.9436679999999</v>
      </c>
      <c r="J187" t="s">
        <v>35</v>
      </c>
      <c r="K187" t="s">
        <v>30</v>
      </c>
      <c r="L187">
        <v>0.99039951997599884</v>
      </c>
    </row>
    <row r="188" spans="1:12" x14ac:dyDescent="0.3">
      <c r="A188">
        <v>18689</v>
      </c>
      <c r="B188" t="s">
        <v>31</v>
      </c>
      <c r="C188" t="s">
        <v>13</v>
      </c>
      <c r="D188">
        <v>4641</v>
      </c>
      <c r="E188">
        <v>4</v>
      </c>
      <c r="F188">
        <v>3</v>
      </c>
      <c r="G188">
        <v>2006</v>
      </c>
      <c r="H188">
        <v>1992431.5109999999</v>
      </c>
      <c r="I188">
        <v>6979.6201929999997</v>
      </c>
      <c r="J188" t="s">
        <v>25</v>
      </c>
      <c r="K188" t="s">
        <v>26</v>
      </c>
      <c r="L188">
        <v>0.99659982999149954</v>
      </c>
    </row>
    <row r="189" spans="1:12" x14ac:dyDescent="0.3">
      <c r="A189">
        <v>18831</v>
      </c>
      <c r="B189" t="s">
        <v>12</v>
      </c>
      <c r="C189" t="s">
        <v>33</v>
      </c>
      <c r="D189">
        <v>4522</v>
      </c>
      <c r="E189">
        <v>1</v>
      </c>
      <c r="F189">
        <v>3</v>
      </c>
      <c r="G189">
        <v>2007</v>
      </c>
      <c r="H189">
        <v>1990771.2420000001</v>
      </c>
      <c r="I189">
        <v>608.85098740000001</v>
      </c>
      <c r="J189" t="s">
        <v>34</v>
      </c>
      <c r="K189" t="s">
        <v>26</v>
      </c>
      <c r="L189">
        <v>0.9956497824891245</v>
      </c>
    </row>
    <row r="190" spans="1:12" x14ac:dyDescent="0.3">
      <c r="A190">
        <v>19074</v>
      </c>
      <c r="B190" t="s">
        <v>31</v>
      </c>
      <c r="C190" t="s">
        <v>17</v>
      </c>
      <c r="D190">
        <v>1414</v>
      </c>
      <c r="E190">
        <v>4</v>
      </c>
      <c r="F190">
        <v>1</v>
      </c>
      <c r="G190">
        <v>2003</v>
      </c>
      <c r="H190">
        <v>1986080.344</v>
      </c>
      <c r="I190">
        <v>7998.3035309999996</v>
      </c>
      <c r="J190" t="s">
        <v>35</v>
      </c>
      <c r="K190" t="s">
        <v>30</v>
      </c>
      <c r="L190">
        <v>0.99379968998449919</v>
      </c>
    </row>
    <row r="191" spans="1:12" x14ac:dyDescent="0.3">
      <c r="A191">
        <v>19136</v>
      </c>
      <c r="B191" t="s">
        <v>16</v>
      </c>
      <c r="C191" t="s">
        <v>33</v>
      </c>
      <c r="D191">
        <v>4349</v>
      </c>
      <c r="E191">
        <v>5</v>
      </c>
      <c r="F191">
        <v>2</v>
      </c>
      <c r="G191">
        <v>1970</v>
      </c>
      <c r="H191">
        <v>1982039.821</v>
      </c>
      <c r="I191">
        <v>1645.209558</v>
      </c>
      <c r="J191" t="s">
        <v>34</v>
      </c>
      <c r="K191" t="s">
        <v>30</v>
      </c>
      <c r="L191">
        <v>0.99184959247962401</v>
      </c>
    </row>
    <row r="192" spans="1:12" x14ac:dyDescent="0.3">
      <c r="A192">
        <v>19171</v>
      </c>
      <c r="B192" t="s">
        <v>31</v>
      </c>
      <c r="C192" t="s">
        <v>13</v>
      </c>
      <c r="D192">
        <v>4698</v>
      </c>
      <c r="E192">
        <v>4</v>
      </c>
      <c r="F192">
        <v>1</v>
      </c>
      <c r="G192">
        <v>2011</v>
      </c>
      <c r="H192">
        <v>1998048.3089999999</v>
      </c>
      <c r="I192">
        <v>3764.0287779999999</v>
      </c>
      <c r="J192" t="s">
        <v>32</v>
      </c>
      <c r="K192" t="s">
        <v>30</v>
      </c>
      <c r="L192">
        <v>0.99899994999749986</v>
      </c>
    </row>
    <row r="193" spans="1:12" x14ac:dyDescent="0.3">
      <c r="A193">
        <v>19286</v>
      </c>
      <c r="B193" t="s">
        <v>31</v>
      </c>
      <c r="C193" t="s">
        <v>13</v>
      </c>
      <c r="D193">
        <v>4664</v>
      </c>
      <c r="E193">
        <v>2</v>
      </c>
      <c r="F193">
        <v>3</v>
      </c>
      <c r="G193">
        <v>2003</v>
      </c>
      <c r="H193">
        <v>1982911.176</v>
      </c>
      <c r="I193">
        <v>6450.5459049999999</v>
      </c>
      <c r="J193" t="s">
        <v>32</v>
      </c>
      <c r="K193" t="s">
        <v>15</v>
      </c>
      <c r="L193">
        <v>0.99224961248062404</v>
      </c>
    </row>
    <row r="194" spans="1:12" x14ac:dyDescent="0.3">
      <c r="A194">
        <v>19356</v>
      </c>
      <c r="B194" t="s">
        <v>22</v>
      </c>
      <c r="C194" t="s">
        <v>13</v>
      </c>
      <c r="D194">
        <v>1625</v>
      </c>
      <c r="E194">
        <v>1</v>
      </c>
      <c r="F194">
        <v>1</v>
      </c>
      <c r="G194">
        <v>1972</v>
      </c>
      <c r="H194">
        <v>1995497.503</v>
      </c>
      <c r="I194">
        <v>4202.4467619999996</v>
      </c>
      <c r="J194" t="s">
        <v>14</v>
      </c>
      <c r="K194" t="s">
        <v>30</v>
      </c>
      <c r="L194">
        <v>0.99769988499424966</v>
      </c>
    </row>
    <row r="195" spans="1:12" x14ac:dyDescent="0.3">
      <c r="A195">
        <v>19423</v>
      </c>
      <c r="B195" t="s">
        <v>19</v>
      </c>
      <c r="C195" t="s">
        <v>17</v>
      </c>
      <c r="D195">
        <v>2166</v>
      </c>
      <c r="E195">
        <v>3</v>
      </c>
      <c r="F195">
        <v>2</v>
      </c>
      <c r="G195">
        <v>2007</v>
      </c>
      <c r="H195">
        <v>1995364.172</v>
      </c>
      <c r="I195">
        <v>1949.431061</v>
      </c>
      <c r="J195" t="s">
        <v>35</v>
      </c>
      <c r="K195" t="s">
        <v>30</v>
      </c>
      <c r="L195">
        <v>0.99759987999399968</v>
      </c>
    </row>
    <row r="196" spans="1:12" x14ac:dyDescent="0.3">
      <c r="A196">
        <v>19439</v>
      </c>
      <c r="B196" t="s">
        <v>22</v>
      </c>
      <c r="C196" t="s">
        <v>23</v>
      </c>
      <c r="D196">
        <v>3177</v>
      </c>
      <c r="E196">
        <v>3</v>
      </c>
      <c r="F196">
        <v>3</v>
      </c>
      <c r="G196">
        <v>1982</v>
      </c>
      <c r="H196">
        <v>1988390.3589999999</v>
      </c>
      <c r="I196">
        <v>5027.164092</v>
      </c>
      <c r="J196" t="s">
        <v>24</v>
      </c>
      <c r="K196" t="s">
        <v>30</v>
      </c>
      <c r="L196">
        <v>0.99489974498724931</v>
      </c>
    </row>
    <row r="197" spans="1:12" x14ac:dyDescent="0.3">
      <c r="A197">
        <v>19550</v>
      </c>
      <c r="B197" t="s">
        <v>22</v>
      </c>
      <c r="C197" t="s">
        <v>13</v>
      </c>
      <c r="D197">
        <v>1966</v>
      </c>
      <c r="E197">
        <v>5</v>
      </c>
      <c r="F197">
        <v>2</v>
      </c>
      <c r="G197">
        <v>1994</v>
      </c>
      <c r="H197">
        <v>1990571.077</v>
      </c>
      <c r="I197">
        <v>5249.0458170000002</v>
      </c>
      <c r="J197" t="s">
        <v>14</v>
      </c>
      <c r="K197" t="s">
        <v>30</v>
      </c>
      <c r="L197">
        <v>0.9955997799889994</v>
      </c>
    </row>
    <row r="198" spans="1:12" x14ac:dyDescent="0.3">
      <c r="A198">
        <v>19674</v>
      </c>
      <c r="B198" t="s">
        <v>16</v>
      </c>
      <c r="C198" t="s">
        <v>20</v>
      </c>
      <c r="D198">
        <v>2933</v>
      </c>
      <c r="E198">
        <v>3</v>
      </c>
      <c r="F198">
        <v>1</v>
      </c>
      <c r="G198">
        <v>1989</v>
      </c>
      <c r="H198">
        <v>1986949.8259999999</v>
      </c>
      <c r="I198">
        <v>6833.1487699999998</v>
      </c>
      <c r="J198" t="s">
        <v>41</v>
      </c>
      <c r="K198" t="s">
        <v>30</v>
      </c>
      <c r="L198">
        <v>0.99414970748537423</v>
      </c>
    </row>
    <row r="199" spans="1:12" x14ac:dyDescent="0.3">
      <c r="A199">
        <v>19677</v>
      </c>
      <c r="B199" t="s">
        <v>31</v>
      </c>
      <c r="C199" t="s">
        <v>33</v>
      </c>
      <c r="D199">
        <v>1232</v>
      </c>
      <c r="E199">
        <v>2</v>
      </c>
      <c r="F199">
        <v>1</v>
      </c>
      <c r="G199">
        <v>1984</v>
      </c>
      <c r="H199">
        <v>1985962.108</v>
      </c>
      <c r="I199">
        <v>4267.6029280000002</v>
      </c>
      <c r="J199" t="s">
        <v>39</v>
      </c>
      <c r="K199" t="s">
        <v>30</v>
      </c>
      <c r="L199">
        <v>0.99364968248412422</v>
      </c>
    </row>
    <row r="200" spans="1:12" x14ac:dyDescent="0.3">
      <c r="A200">
        <v>19696</v>
      </c>
      <c r="B200" t="s">
        <v>22</v>
      </c>
      <c r="C200" t="s">
        <v>23</v>
      </c>
      <c r="D200">
        <v>4482</v>
      </c>
      <c r="E200">
        <v>2</v>
      </c>
      <c r="F200">
        <v>1</v>
      </c>
      <c r="G200">
        <v>1973</v>
      </c>
      <c r="H200">
        <v>1997788.615</v>
      </c>
      <c r="I200">
        <v>6444.2573860000002</v>
      </c>
      <c r="J200" t="s">
        <v>25</v>
      </c>
      <c r="K200" t="s">
        <v>15</v>
      </c>
      <c r="L200">
        <v>0.9987999399969999</v>
      </c>
    </row>
    <row r="201" spans="1:12" x14ac:dyDescent="0.3">
      <c r="A201">
        <v>19842</v>
      </c>
      <c r="B201" t="s">
        <v>12</v>
      </c>
      <c r="C201" t="s">
        <v>27</v>
      </c>
      <c r="D201">
        <v>2055</v>
      </c>
      <c r="E201">
        <v>1</v>
      </c>
      <c r="F201">
        <v>3</v>
      </c>
      <c r="G201">
        <v>1955</v>
      </c>
      <c r="H201">
        <v>1995340.1040000001</v>
      </c>
      <c r="I201">
        <v>1267.486983</v>
      </c>
      <c r="J201" t="s">
        <v>25</v>
      </c>
      <c r="K201" t="s">
        <v>15</v>
      </c>
      <c r="L201">
        <v>0.99754987749387469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C9AC-CDEA-4109-8BC2-8BF86528D6B3}">
  <dimension ref="A3:B39"/>
  <sheetViews>
    <sheetView workbookViewId="0">
      <selection activeCell="A3" sqref="A3"/>
    </sheetView>
  </sheetViews>
  <sheetFormatPr defaultRowHeight="14.4" x14ac:dyDescent="0.3"/>
  <cols>
    <col min="1" max="1" width="16.109375" bestFit="1" customWidth="1"/>
    <col min="2" max="2" width="19.77734375" bestFit="1" customWidth="1"/>
    <col min="3" max="5" width="12" bestFit="1" customWidth="1"/>
    <col min="6" max="6" width="12.33203125" bestFit="1" customWidth="1"/>
    <col min="7" max="8" width="12" bestFit="1" customWidth="1"/>
  </cols>
  <sheetData>
    <row r="3" spans="1:2" x14ac:dyDescent="0.3">
      <c r="A3" s="1" t="s">
        <v>44</v>
      </c>
      <c r="B3" t="s">
        <v>46</v>
      </c>
    </row>
    <row r="4" spans="1:2" x14ac:dyDescent="0.3">
      <c r="A4" s="2" t="s">
        <v>12</v>
      </c>
      <c r="B4" s="3">
        <v>44489.601621708331</v>
      </c>
    </row>
    <row r="5" spans="1:2" x14ac:dyDescent="0.3">
      <c r="A5" s="4" t="s">
        <v>17</v>
      </c>
      <c r="B5" s="3">
        <v>7307.6418991980781</v>
      </c>
    </row>
    <row r="6" spans="1:2" x14ac:dyDescent="0.3">
      <c r="A6" s="4" t="s">
        <v>20</v>
      </c>
      <c r="B6" s="3">
        <v>8779.4228871042833</v>
      </c>
    </row>
    <row r="7" spans="1:2" x14ac:dyDescent="0.3">
      <c r="A7" s="4" t="s">
        <v>13</v>
      </c>
      <c r="B7" s="3">
        <v>8509.5745991937656</v>
      </c>
    </row>
    <row r="8" spans="1:2" x14ac:dyDescent="0.3">
      <c r="A8" s="4" t="s">
        <v>33</v>
      </c>
      <c r="B8" s="3">
        <v>4909.4741640454658</v>
      </c>
    </row>
    <row r="9" spans="1:2" x14ac:dyDescent="0.3">
      <c r="A9" s="4" t="s">
        <v>23</v>
      </c>
      <c r="B9" s="3">
        <v>3487.4364197524405</v>
      </c>
    </row>
    <row r="10" spans="1:2" x14ac:dyDescent="0.3">
      <c r="A10" s="4" t="s">
        <v>27</v>
      </c>
      <c r="B10" s="3">
        <v>11496.051652414297</v>
      </c>
    </row>
    <row r="11" spans="1:2" x14ac:dyDescent="0.3">
      <c r="A11" s="2" t="s">
        <v>22</v>
      </c>
      <c r="B11" s="3">
        <v>58492.606855838341</v>
      </c>
    </row>
    <row r="12" spans="1:2" x14ac:dyDescent="0.3">
      <c r="A12" s="4" t="s">
        <v>17</v>
      </c>
      <c r="B12" s="3">
        <v>6495.0015233758349</v>
      </c>
    </row>
    <row r="13" spans="1:2" x14ac:dyDescent="0.3">
      <c r="A13" s="4" t="s">
        <v>20</v>
      </c>
      <c r="B13" s="3">
        <v>8237.6697159966843</v>
      </c>
    </row>
    <row r="14" spans="1:2" x14ac:dyDescent="0.3">
      <c r="A14" s="4" t="s">
        <v>13</v>
      </c>
      <c r="B14" s="3">
        <v>13582.250916676072</v>
      </c>
    </row>
    <row r="15" spans="1:2" x14ac:dyDescent="0.3">
      <c r="A15" s="4" t="s">
        <v>33</v>
      </c>
      <c r="B15" s="3">
        <v>13720.405342187725</v>
      </c>
    </row>
    <row r="16" spans="1:2" x14ac:dyDescent="0.3">
      <c r="A16" s="4" t="s">
        <v>23</v>
      </c>
      <c r="B16" s="3">
        <v>2390.9544991475941</v>
      </c>
    </row>
    <row r="17" spans="1:2" x14ac:dyDescent="0.3">
      <c r="A17" s="4" t="s">
        <v>27</v>
      </c>
      <c r="B17" s="3">
        <v>14066.324858454433</v>
      </c>
    </row>
    <row r="18" spans="1:2" x14ac:dyDescent="0.3">
      <c r="A18" s="2" t="s">
        <v>31</v>
      </c>
      <c r="B18" s="3">
        <v>48279.455603968614</v>
      </c>
    </row>
    <row r="19" spans="1:2" x14ac:dyDescent="0.3">
      <c r="A19" s="4" t="s">
        <v>17</v>
      </c>
      <c r="B19" s="3">
        <v>16030.970163309286</v>
      </c>
    </row>
    <row r="20" spans="1:2" x14ac:dyDescent="0.3">
      <c r="A20" s="4" t="s">
        <v>20</v>
      </c>
      <c r="B20" s="3">
        <v>3639.2506962323559</v>
      </c>
    </row>
    <row r="21" spans="1:2" x14ac:dyDescent="0.3">
      <c r="A21" s="4" t="s">
        <v>13</v>
      </c>
      <c r="B21" s="3">
        <v>8410.9535600166146</v>
      </c>
    </row>
    <row r="22" spans="1:2" x14ac:dyDescent="0.3">
      <c r="A22" s="4" t="s">
        <v>33</v>
      </c>
      <c r="B22" s="3">
        <v>9249.9543335750786</v>
      </c>
    </row>
    <row r="23" spans="1:2" x14ac:dyDescent="0.3">
      <c r="A23" s="4" t="s">
        <v>23</v>
      </c>
      <c r="B23" s="3">
        <v>7233.5897096390872</v>
      </c>
    </row>
    <row r="24" spans="1:2" x14ac:dyDescent="0.3">
      <c r="A24" s="4" t="s">
        <v>27</v>
      </c>
      <c r="B24" s="3">
        <v>3714.7371411961954</v>
      </c>
    </row>
    <row r="25" spans="1:2" x14ac:dyDescent="0.3">
      <c r="A25" s="2" t="s">
        <v>19</v>
      </c>
      <c r="B25" s="3">
        <v>6090.1600653077976</v>
      </c>
    </row>
    <row r="26" spans="1:2" x14ac:dyDescent="0.3">
      <c r="A26" s="4" t="s">
        <v>17</v>
      </c>
      <c r="B26" s="3">
        <v>921.22076269621425</v>
      </c>
    </row>
    <row r="27" spans="1:2" x14ac:dyDescent="0.3">
      <c r="A27" s="4" t="s">
        <v>20</v>
      </c>
      <c r="B27" s="3">
        <v>569.0510710178263</v>
      </c>
    </row>
    <row r="28" spans="1:2" x14ac:dyDescent="0.3">
      <c r="A28" s="4" t="s">
        <v>13</v>
      </c>
      <c r="B28" s="3">
        <v>1384.7968438455773</v>
      </c>
    </row>
    <row r="29" spans="1:2" x14ac:dyDescent="0.3">
      <c r="A29" s="4" t="s">
        <v>33</v>
      </c>
      <c r="B29" s="3">
        <v>1981.8139682340295</v>
      </c>
    </row>
    <row r="30" spans="1:2" x14ac:dyDescent="0.3">
      <c r="A30" s="4" t="s">
        <v>23</v>
      </c>
      <c r="B30" s="3">
        <v>748.29175122502829</v>
      </c>
    </row>
    <row r="31" spans="1:2" x14ac:dyDescent="0.3">
      <c r="A31" s="4" t="s">
        <v>27</v>
      </c>
      <c r="B31" s="3">
        <v>484.98566828912146</v>
      </c>
    </row>
    <row r="32" spans="1:2" x14ac:dyDescent="0.3">
      <c r="A32" s="2" t="s">
        <v>16</v>
      </c>
      <c r="B32" s="3">
        <v>44010.336221904829</v>
      </c>
    </row>
    <row r="33" spans="1:2" x14ac:dyDescent="0.3">
      <c r="A33" s="4" t="s">
        <v>17</v>
      </c>
      <c r="B33" s="3">
        <v>3810.0696189996461</v>
      </c>
    </row>
    <row r="34" spans="1:2" x14ac:dyDescent="0.3">
      <c r="A34" s="4" t="s">
        <v>20</v>
      </c>
      <c r="B34" s="3">
        <v>4672.8457030769332</v>
      </c>
    </row>
    <row r="35" spans="1:2" x14ac:dyDescent="0.3">
      <c r="A35" s="4" t="s">
        <v>13</v>
      </c>
      <c r="B35" s="3">
        <v>6538.0641000522637</v>
      </c>
    </row>
    <row r="36" spans="1:2" x14ac:dyDescent="0.3">
      <c r="A36" s="4" t="s">
        <v>33</v>
      </c>
      <c r="B36" s="3">
        <v>9936.60257261277</v>
      </c>
    </row>
    <row r="37" spans="1:2" x14ac:dyDescent="0.3">
      <c r="A37" s="4" t="s">
        <v>23</v>
      </c>
      <c r="B37" s="3">
        <v>6085.5946054992291</v>
      </c>
    </row>
    <row r="38" spans="1:2" x14ac:dyDescent="0.3">
      <c r="A38" s="4" t="s">
        <v>27</v>
      </c>
      <c r="B38" s="3">
        <v>12967.159621663985</v>
      </c>
    </row>
    <row r="39" spans="1:2" x14ac:dyDescent="0.3">
      <c r="A39" s="2" t="s">
        <v>45</v>
      </c>
      <c r="B39" s="3">
        <v>201362.16036872793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1"/>
  <sheetViews>
    <sheetView tabSelected="1" topLeftCell="E1" workbookViewId="0">
      <selection activeCell="N15" sqref="N15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12" bestFit="1" customWidth="1"/>
    <col min="4" max="4" width="14.109375" customWidth="1"/>
    <col min="5" max="5" width="12.109375" customWidth="1"/>
    <col min="6" max="6" width="12.6640625" customWidth="1"/>
    <col min="7" max="7" width="13.5546875" customWidth="1"/>
    <col min="8" max="8" width="19.109375" customWidth="1"/>
    <col min="9" max="9" width="15.44140625" customWidth="1"/>
    <col min="10" max="10" width="16.77734375" customWidth="1"/>
    <col min="11" max="11" width="11.21875" customWidth="1"/>
    <col min="12" max="12" width="12" bestFit="1" customWidth="1"/>
    <col min="13" max="13" width="21.44140625" customWidth="1"/>
    <col min="14" max="14" width="16.109375" customWidth="1"/>
    <col min="15" max="15" width="14.77734375" customWidth="1"/>
    <col min="16" max="16" width="11.44140625" customWidth="1"/>
    <col min="17" max="17" width="16.33203125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43</v>
      </c>
    </row>
    <row r="2" spans="1:17" x14ac:dyDescent="0.3">
      <c r="A2">
        <v>332</v>
      </c>
      <c r="B2" t="s">
        <v>12</v>
      </c>
      <c r="C2" t="s">
        <v>13</v>
      </c>
      <c r="D2">
        <v>4408</v>
      </c>
      <c r="E2">
        <v>5</v>
      </c>
      <c r="F2">
        <v>3</v>
      </c>
      <c r="G2">
        <v>1950</v>
      </c>
      <c r="H2">
        <v>1984025.2919999999</v>
      </c>
      <c r="I2">
        <v>2349.8031369999999</v>
      </c>
      <c r="J2" t="s">
        <v>14</v>
      </c>
      <c r="K2" t="s">
        <v>15</v>
      </c>
      <c r="L2">
        <v>0.99269963498174907</v>
      </c>
      <c r="M2">
        <f>ROUND((H2/D2), 2)</f>
        <v>450.1</v>
      </c>
      <c r="O2" s="8" t="s">
        <v>47</v>
      </c>
      <c r="P2" s="8">
        <f>QUARTILE(M2:M201,1)</f>
        <v>481.4375</v>
      </c>
      <c r="Q2" s="8"/>
    </row>
    <row r="3" spans="1:17" x14ac:dyDescent="0.3">
      <c r="A3">
        <v>339</v>
      </c>
      <c r="B3" t="s">
        <v>16</v>
      </c>
      <c r="C3" t="s">
        <v>17</v>
      </c>
      <c r="D3">
        <v>4573</v>
      </c>
      <c r="E3">
        <v>2</v>
      </c>
      <c r="F3">
        <v>1</v>
      </c>
      <c r="G3">
        <v>1978</v>
      </c>
      <c r="H3">
        <v>1998118.08</v>
      </c>
      <c r="I3">
        <v>6093.3099949999996</v>
      </c>
      <c r="J3" t="s">
        <v>18</v>
      </c>
      <c r="K3" t="s">
        <v>15</v>
      </c>
      <c r="L3">
        <v>0.99909995499774984</v>
      </c>
      <c r="M3">
        <f t="shared" ref="M3:M66" si="0">ROUND((H3/D3), 2)</f>
        <v>436.94</v>
      </c>
      <c r="O3" s="8" t="s">
        <v>48</v>
      </c>
      <c r="P3" s="8">
        <f>QUARTILE(M2:M201, 3)</f>
        <v>1148.7250000000001</v>
      </c>
      <c r="Q3" s="8"/>
    </row>
    <row r="4" spans="1:17" x14ac:dyDescent="0.3">
      <c r="A4">
        <v>357</v>
      </c>
      <c r="B4" t="s">
        <v>19</v>
      </c>
      <c r="C4" t="s">
        <v>20</v>
      </c>
      <c r="D4">
        <v>3478</v>
      </c>
      <c r="E4">
        <v>4</v>
      </c>
      <c r="F4">
        <v>2</v>
      </c>
      <c r="G4">
        <v>1961</v>
      </c>
      <c r="H4">
        <v>1979159.625</v>
      </c>
      <c r="I4">
        <v>3989.4125779999999</v>
      </c>
      <c r="J4" t="s">
        <v>21</v>
      </c>
      <c r="K4" t="s">
        <v>15</v>
      </c>
      <c r="L4">
        <v>0.9905995299764988</v>
      </c>
      <c r="M4">
        <f t="shared" si="0"/>
        <v>569.04999999999995</v>
      </c>
      <c r="O4" s="8" t="s">
        <v>49</v>
      </c>
      <c r="P4" s="8">
        <f>P3-P2</f>
        <v>667.28750000000014</v>
      </c>
      <c r="Q4" s="8"/>
    </row>
    <row r="5" spans="1:17" x14ac:dyDescent="0.3">
      <c r="A5">
        <v>446</v>
      </c>
      <c r="B5" t="s">
        <v>22</v>
      </c>
      <c r="C5" t="s">
        <v>23</v>
      </c>
      <c r="D5">
        <v>4681</v>
      </c>
      <c r="E5">
        <v>5</v>
      </c>
      <c r="F5">
        <v>1</v>
      </c>
      <c r="G5">
        <v>1950</v>
      </c>
      <c r="H5">
        <v>1986658.4</v>
      </c>
      <c r="I5">
        <v>3831.303903</v>
      </c>
      <c r="J5" t="s">
        <v>24</v>
      </c>
      <c r="K5" t="s">
        <v>15</v>
      </c>
      <c r="L5">
        <v>0.99399969998499926</v>
      </c>
      <c r="M5">
        <f t="shared" si="0"/>
        <v>424.41</v>
      </c>
      <c r="O5" s="8" t="s">
        <v>50</v>
      </c>
      <c r="P5" s="8">
        <f>P3+1.5*P4</f>
        <v>2149.6562500000005</v>
      </c>
      <c r="Q5" s="8" t="s">
        <v>52</v>
      </c>
    </row>
    <row r="6" spans="1:17" x14ac:dyDescent="0.3">
      <c r="A6" s="7">
        <v>610</v>
      </c>
      <c r="B6" s="7" t="s">
        <v>16</v>
      </c>
      <c r="C6" s="7" t="s">
        <v>13</v>
      </c>
      <c r="D6" s="7">
        <v>2022</v>
      </c>
      <c r="E6" s="7">
        <v>3</v>
      </c>
      <c r="F6" s="7">
        <v>3</v>
      </c>
      <c r="G6" s="7">
        <v>2017</v>
      </c>
      <c r="H6" s="7">
        <v>1978944.291</v>
      </c>
      <c r="I6" s="7">
        <v>4563.9746459999997</v>
      </c>
      <c r="J6" s="7" t="s">
        <v>25</v>
      </c>
      <c r="K6" s="7" t="s">
        <v>26</v>
      </c>
      <c r="L6" s="7">
        <v>0.99049952497624882</v>
      </c>
      <c r="M6" s="7">
        <f t="shared" si="0"/>
        <v>978.71</v>
      </c>
      <c r="O6" s="8" t="s">
        <v>51</v>
      </c>
      <c r="P6" s="8">
        <f>P2-1.5*P4</f>
        <v>-519.4937500000002</v>
      </c>
      <c r="Q6" s="8" t="s">
        <v>53</v>
      </c>
    </row>
    <row r="7" spans="1:17" x14ac:dyDescent="0.3">
      <c r="A7">
        <v>622</v>
      </c>
      <c r="B7" t="s">
        <v>19</v>
      </c>
      <c r="C7" t="s">
        <v>27</v>
      </c>
      <c r="D7">
        <v>4109</v>
      </c>
      <c r="E7">
        <v>2</v>
      </c>
      <c r="F7">
        <v>1</v>
      </c>
      <c r="G7">
        <v>1987</v>
      </c>
      <c r="H7">
        <v>1992806.111</v>
      </c>
      <c r="I7">
        <v>2099.1773640000001</v>
      </c>
      <c r="J7" t="s">
        <v>28</v>
      </c>
      <c r="K7" t="s">
        <v>15</v>
      </c>
      <c r="L7">
        <v>0.9968998449922496</v>
      </c>
      <c r="M7">
        <f t="shared" si="0"/>
        <v>484.99</v>
      </c>
    </row>
    <row r="8" spans="1:17" x14ac:dyDescent="0.3">
      <c r="A8">
        <v>1014</v>
      </c>
      <c r="B8" t="s">
        <v>22</v>
      </c>
      <c r="C8" t="s">
        <v>27</v>
      </c>
      <c r="D8">
        <v>3866</v>
      </c>
      <c r="E8">
        <v>1</v>
      </c>
      <c r="F8">
        <v>3</v>
      </c>
      <c r="G8">
        <v>1980</v>
      </c>
      <c r="H8">
        <v>1997021.7590000001</v>
      </c>
      <c r="I8">
        <v>6449.4863809999997</v>
      </c>
      <c r="J8" t="s">
        <v>29</v>
      </c>
      <c r="K8" t="s">
        <v>30</v>
      </c>
      <c r="L8">
        <v>0.99834991749587476</v>
      </c>
      <c r="M8">
        <f t="shared" si="0"/>
        <v>516.55999999999995</v>
      </c>
    </row>
    <row r="9" spans="1:17" x14ac:dyDescent="0.3">
      <c r="A9" s="6">
        <v>1120</v>
      </c>
      <c r="B9" s="6" t="s">
        <v>31</v>
      </c>
      <c r="C9" s="6" t="s">
        <v>13</v>
      </c>
      <c r="D9" s="6">
        <v>1129</v>
      </c>
      <c r="E9" s="6">
        <v>3</v>
      </c>
      <c r="F9" s="6">
        <v>2</v>
      </c>
      <c r="G9" s="6">
        <v>1968</v>
      </c>
      <c r="H9" s="6">
        <v>1999984.88</v>
      </c>
      <c r="I9" s="6">
        <v>2685.5398209999998</v>
      </c>
      <c r="J9" s="6" t="s">
        <v>32</v>
      </c>
      <c r="K9" s="6" t="s">
        <v>30</v>
      </c>
      <c r="L9" s="6">
        <v>1</v>
      </c>
      <c r="M9" s="6">
        <f t="shared" si="0"/>
        <v>1771.47</v>
      </c>
    </row>
    <row r="10" spans="1:17" x14ac:dyDescent="0.3">
      <c r="A10">
        <v>1138</v>
      </c>
      <c r="B10" t="s">
        <v>31</v>
      </c>
      <c r="C10" t="s">
        <v>33</v>
      </c>
      <c r="D10">
        <v>3324</v>
      </c>
      <c r="E10">
        <v>2</v>
      </c>
      <c r="F10">
        <v>1</v>
      </c>
      <c r="G10">
        <v>1979</v>
      </c>
      <c r="H10">
        <v>1983179.5379999999</v>
      </c>
      <c r="I10">
        <v>1167.5210500000001</v>
      </c>
      <c r="J10" t="s">
        <v>34</v>
      </c>
      <c r="K10" t="s">
        <v>30</v>
      </c>
      <c r="L10">
        <v>0.99229961498074903</v>
      </c>
      <c r="M10">
        <f t="shared" si="0"/>
        <v>596.62</v>
      </c>
    </row>
    <row r="11" spans="1:17" x14ac:dyDescent="0.3">
      <c r="A11" s="6">
        <v>1278</v>
      </c>
      <c r="B11" s="6" t="s">
        <v>22</v>
      </c>
      <c r="C11" s="6" t="s">
        <v>27</v>
      </c>
      <c r="D11" s="6">
        <v>559</v>
      </c>
      <c r="E11" s="6">
        <v>1</v>
      </c>
      <c r="F11" s="6">
        <v>3</v>
      </c>
      <c r="G11" s="6">
        <v>2017</v>
      </c>
      <c r="H11" s="6">
        <v>1993070.3859999999</v>
      </c>
      <c r="I11" s="6">
        <v>6939.1977889999998</v>
      </c>
      <c r="J11" s="6" t="s">
        <v>29</v>
      </c>
      <c r="K11" s="6" t="s">
        <v>30</v>
      </c>
      <c r="L11" s="6">
        <v>0.99699984999249958</v>
      </c>
      <c r="M11" s="6">
        <f t="shared" si="0"/>
        <v>3565.42</v>
      </c>
    </row>
    <row r="12" spans="1:17" x14ac:dyDescent="0.3">
      <c r="A12" s="6">
        <v>1318</v>
      </c>
      <c r="B12" s="6" t="s">
        <v>16</v>
      </c>
      <c r="C12" s="6" t="s">
        <v>17</v>
      </c>
      <c r="D12" s="6">
        <v>1887</v>
      </c>
      <c r="E12" s="6">
        <v>3</v>
      </c>
      <c r="F12" s="6">
        <v>3</v>
      </c>
      <c r="G12" s="6">
        <v>2004</v>
      </c>
      <c r="H12" s="6">
        <v>1990855.6850000001</v>
      </c>
      <c r="I12" s="6">
        <v>4162.1590169999999</v>
      </c>
      <c r="J12" s="6" t="s">
        <v>35</v>
      </c>
      <c r="K12" s="6" t="s">
        <v>15</v>
      </c>
      <c r="L12" s="6">
        <v>0.99569978498924949</v>
      </c>
      <c r="M12" s="6">
        <f t="shared" si="0"/>
        <v>1055.04</v>
      </c>
    </row>
    <row r="13" spans="1:17" x14ac:dyDescent="0.3">
      <c r="A13">
        <v>1319</v>
      </c>
      <c r="B13" t="s">
        <v>31</v>
      </c>
      <c r="C13" t="s">
        <v>23</v>
      </c>
      <c r="D13">
        <v>4517</v>
      </c>
      <c r="E13">
        <v>5</v>
      </c>
      <c r="F13">
        <v>1</v>
      </c>
      <c r="G13">
        <v>1985</v>
      </c>
      <c r="H13">
        <v>1999612.5249999999</v>
      </c>
      <c r="I13">
        <v>7063.3649660000001</v>
      </c>
      <c r="J13" t="s">
        <v>25</v>
      </c>
      <c r="K13" t="s">
        <v>15</v>
      </c>
      <c r="L13">
        <v>0.99984999249962503</v>
      </c>
      <c r="M13">
        <f t="shared" si="0"/>
        <v>442.69</v>
      </c>
    </row>
    <row r="14" spans="1:17" x14ac:dyDescent="0.3">
      <c r="A14">
        <v>1679</v>
      </c>
      <c r="B14" t="s">
        <v>31</v>
      </c>
      <c r="C14" t="s">
        <v>23</v>
      </c>
      <c r="D14">
        <v>3897</v>
      </c>
      <c r="E14">
        <v>1</v>
      </c>
      <c r="F14">
        <v>3</v>
      </c>
      <c r="G14">
        <v>1986</v>
      </c>
      <c r="H14">
        <v>1982009.8810000001</v>
      </c>
      <c r="I14">
        <v>781.28120000000001</v>
      </c>
      <c r="J14" t="s">
        <v>36</v>
      </c>
      <c r="K14" t="s">
        <v>30</v>
      </c>
      <c r="L14">
        <v>0.99179958997949902</v>
      </c>
      <c r="M14">
        <f t="shared" si="0"/>
        <v>508.6</v>
      </c>
    </row>
    <row r="15" spans="1:17" x14ac:dyDescent="0.3">
      <c r="A15">
        <v>1743</v>
      </c>
      <c r="B15" t="s">
        <v>31</v>
      </c>
      <c r="C15" t="s">
        <v>33</v>
      </c>
      <c r="D15">
        <v>3697</v>
      </c>
      <c r="E15">
        <v>2</v>
      </c>
      <c r="F15">
        <v>2</v>
      </c>
      <c r="G15">
        <v>1972</v>
      </c>
      <c r="H15">
        <v>1997644.8629999999</v>
      </c>
      <c r="I15">
        <v>7977.3039470000003</v>
      </c>
      <c r="J15" t="s">
        <v>34</v>
      </c>
      <c r="K15" t="s">
        <v>15</v>
      </c>
      <c r="L15">
        <v>0.99869993499674981</v>
      </c>
      <c r="M15">
        <f t="shared" si="0"/>
        <v>540.34</v>
      </c>
    </row>
    <row r="16" spans="1:17" x14ac:dyDescent="0.3">
      <c r="A16">
        <v>2110</v>
      </c>
      <c r="B16" t="s">
        <v>31</v>
      </c>
      <c r="C16" t="s">
        <v>33</v>
      </c>
      <c r="D16">
        <v>3271</v>
      </c>
      <c r="E16">
        <v>2</v>
      </c>
      <c r="F16">
        <v>1</v>
      </c>
      <c r="G16">
        <v>1954</v>
      </c>
      <c r="H16">
        <v>1997940.878</v>
      </c>
      <c r="I16">
        <v>5094.0644229999998</v>
      </c>
      <c r="J16" t="s">
        <v>37</v>
      </c>
      <c r="K16" t="s">
        <v>30</v>
      </c>
      <c r="L16">
        <v>0.99894994749737487</v>
      </c>
      <c r="M16">
        <f t="shared" si="0"/>
        <v>610.79999999999995</v>
      </c>
    </row>
    <row r="17" spans="1:13" x14ac:dyDescent="0.3">
      <c r="A17">
        <v>2156</v>
      </c>
      <c r="B17" t="s">
        <v>16</v>
      </c>
      <c r="C17" t="s">
        <v>13</v>
      </c>
      <c r="D17">
        <v>3762</v>
      </c>
      <c r="E17">
        <v>4</v>
      </c>
      <c r="F17">
        <v>3</v>
      </c>
      <c r="G17">
        <v>1996</v>
      </c>
      <c r="H17">
        <v>1979365.568</v>
      </c>
      <c r="I17">
        <v>6568.1973029999999</v>
      </c>
      <c r="J17" t="s">
        <v>14</v>
      </c>
      <c r="K17" t="s">
        <v>30</v>
      </c>
      <c r="L17">
        <v>0.99074953747687389</v>
      </c>
      <c r="M17">
        <f t="shared" si="0"/>
        <v>526.15</v>
      </c>
    </row>
    <row r="18" spans="1:13" x14ac:dyDescent="0.3">
      <c r="A18" s="6">
        <v>2171</v>
      </c>
      <c r="B18" s="6" t="s">
        <v>22</v>
      </c>
      <c r="C18" s="6" t="s">
        <v>17</v>
      </c>
      <c r="D18" s="6">
        <v>1810</v>
      </c>
      <c r="E18" s="6">
        <v>2</v>
      </c>
      <c r="F18" s="6">
        <v>2</v>
      </c>
      <c r="G18" s="6">
        <v>2017</v>
      </c>
      <c r="H18" s="6">
        <v>1992078.432</v>
      </c>
      <c r="I18" s="6">
        <v>4825.946156</v>
      </c>
      <c r="J18" s="6" t="s">
        <v>35</v>
      </c>
      <c r="K18" s="6" t="s">
        <v>30</v>
      </c>
      <c r="L18" s="6">
        <v>0.99654982749137455</v>
      </c>
      <c r="M18" s="6">
        <f t="shared" si="0"/>
        <v>1100.5999999999999</v>
      </c>
    </row>
    <row r="19" spans="1:13" x14ac:dyDescent="0.3">
      <c r="A19">
        <v>2199</v>
      </c>
      <c r="B19" t="s">
        <v>31</v>
      </c>
      <c r="C19" t="s">
        <v>13</v>
      </c>
      <c r="D19">
        <v>4167</v>
      </c>
      <c r="E19">
        <v>5</v>
      </c>
      <c r="F19">
        <v>2</v>
      </c>
      <c r="G19">
        <v>1991</v>
      </c>
      <c r="H19">
        <v>1994372.0589999999</v>
      </c>
      <c r="I19">
        <v>6751.1754540000002</v>
      </c>
      <c r="J19" t="s">
        <v>25</v>
      </c>
      <c r="K19" t="s">
        <v>30</v>
      </c>
      <c r="L19">
        <v>0.99729986499324963</v>
      </c>
      <c r="M19">
        <f t="shared" si="0"/>
        <v>478.61</v>
      </c>
    </row>
    <row r="20" spans="1:13" x14ac:dyDescent="0.3">
      <c r="A20">
        <v>2272</v>
      </c>
      <c r="B20" t="s">
        <v>12</v>
      </c>
      <c r="C20" t="s">
        <v>17</v>
      </c>
      <c r="D20">
        <v>3924</v>
      </c>
      <c r="E20">
        <v>1</v>
      </c>
      <c r="F20">
        <v>2</v>
      </c>
      <c r="G20">
        <v>1962</v>
      </c>
      <c r="H20">
        <v>1978635.9469999999</v>
      </c>
      <c r="I20">
        <v>3589.8320840000001</v>
      </c>
      <c r="J20" t="s">
        <v>35</v>
      </c>
      <c r="K20" t="s">
        <v>15</v>
      </c>
      <c r="L20">
        <v>0.99029951497574875</v>
      </c>
      <c r="M20">
        <f t="shared" si="0"/>
        <v>504.24</v>
      </c>
    </row>
    <row r="21" spans="1:13" x14ac:dyDescent="0.3">
      <c r="A21">
        <v>2389</v>
      </c>
      <c r="B21" t="s">
        <v>22</v>
      </c>
      <c r="C21" t="s">
        <v>27</v>
      </c>
      <c r="D21">
        <v>4102</v>
      </c>
      <c r="E21">
        <v>4</v>
      </c>
      <c r="F21">
        <v>3</v>
      </c>
      <c r="G21">
        <v>1995</v>
      </c>
      <c r="H21">
        <v>1983259.8770000001</v>
      </c>
      <c r="I21">
        <v>683.17826700000001</v>
      </c>
      <c r="J21" t="s">
        <v>25</v>
      </c>
      <c r="K21" t="s">
        <v>15</v>
      </c>
      <c r="L21">
        <v>0.99234961748087402</v>
      </c>
      <c r="M21">
        <f t="shared" si="0"/>
        <v>483.49</v>
      </c>
    </row>
    <row r="22" spans="1:13" x14ac:dyDescent="0.3">
      <c r="A22">
        <v>2434</v>
      </c>
      <c r="B22" t="s">
        <v>22</v>
      </c>
      <c r="C22" t="s">
        <v>20</v>
      </c>
      <c r="D22">
        <v>2207</v>
      </c>
      <c r="E22">
        <v>1</v>
      </c>
      <c r="F22">
        <v>1</v>
      </c>
      <c r="G22">
        <v>1954</v>
      </c>
      <c r="H22">
        <v>1983333.8119999999</v>
      </c>
      <c r="I22">
        <v>958.89822760000004</v>
      </c>
      <c r="J22" t="s">
        <v>38</v>
      </c>
      <c r="K22" t="s">
        <v>30</v>
      </c>
      <c r="L22">
        <v>0.99244962248112401</v>
      </c>
      <c r="M22">
        <f t="shared" si="0"/>
        <v>898.66</v>
      </c>
    </row>
    <row r="23" spans="1:13" x14ac:dyDescent="0.3">
      <c r="A23" s="6">
        <v>2484</v>
      </c>
      <c r="B23" s="6" t="s">
        <v>16</v>
      </c>
      <c r="C23" s="6" t="s">
        <v>33</v>
      </c>
      <c r="D23" s="6">
        <v>530</v>
      </c>
      <c r="E23" s="6">
        <v>3</v>
      </c>
      <c r="F23" s="6">
        <v>3</v>
      </c>
      <c r="G23" s="6">
        <v>1988</v>
      </c>
      <c r="H23" s="6">
        <v>1983272.2279999999</v>
      </c>
      <c r="I23" s="6">
        <v>4861.3956589999998</v>
      </c>
      <c r="J23" s="6" t="s">
        <v>39</v>
      </c>
      <c r="K23" s="6" t="s">
        <v>15</v>
      </c>
      <c r="L23" s="6">
        <v>0.99239961998099901</v>
      </c>
      <c r="M23" s="6">
        <f t="shared" si="0"/>
        <v>3742.02</v>
      </c>
    </row>
    <row r="24" spans="1:13" x14ac:dyDescent="0.3">
      <c r="A24" s="6">
        <v>2654</v>
      </c>
      <c r="B24" s="6" t="s">
        <v>12</v>
      </c>
      <c r="C24" s="6" t="s">
        <v>27</v>
      </c>
      <c r="D24" s="6">
        <v>1911</v>
      </c>
      <c r="E24" s="6">
        <v>2</v>
      </c>
      <c r="F24" s="6">
        <v>2</v>
      </c>
      <c r="G24" s="6">
        <v>1988</v>
      </c>
      <c r="H24" s="6">
        <v>1979771.656</v>
      </c>
      <c r="I24" s="6">
        <v>4727.4673650000004</v>
      </c>
      <c r="J24" s="6" t="s">
        <v>28</v>
      </c>
      <c r="K24" s="6" t="s">
        <v>30</v>
      </c>
      <c r="L24" s="6">
        <v>0.99104955247762383</v>
      </c>
      <c r="M24" s="6">
        <f t="shared" si="0"/>
        <v>1035.99</v>
      </c>
    </row>
    <row r="25" spans="1:13" x14ac:dyDescent="0.3">
      <c r="A25">
        <v>2657</v>
      </c>
      <c r="B25" t="s">
        <v>19</v>
      </c>
      <c r="C25" t="s">
        <v>13</v>
      </c>
      <c r="D25">
        <v>2253</v>
      </c>
      <c r="E25">
        <v>2</v>
      </c>
      <c r="F25">
        <v>1</v>
      </c>
      <c r="G25">
        <v>1987</v>
      </c>
      <c r="H25">
        <v>1999130.99</v>
      </c>
      <c r="I25">
        <v>845.87095810000005</v>
      </c>
      <c r="J25" t="s">
        <v>14</v>
      </c>
      <c r="K25" t="s">
        <v>15</v>
      </c>
      <c r="L25">
        <v>0.99954997749887498</v>
      </c>
      <c r="M25">
        <f t="shared" si="0"/>
        <v>887.32</v>
      </c>
    </row>
    <row r="26" spans="1:13" x14ac:dyDescent="0.3">
      <c r="A26">
        <v>2698</v>
      </c>
      <c r="B26" t="s">
        <v>16</v>
      </c>
      <c r="C26" t="s">
        <v>17</v>
      </c>
      <c r="D26">
        <v>3749</v>
      </c>
      <c r="E26">
        <v>2</v>
      </c>
      <c r="F26">
        <v>3</v>
      </c>
      <c r="G26">
        <v>2010</v>
      </c>
      <c r="H26">
        <v>1988787.274</v>
      </c>
      <c r="I26">
        <v>3435.470746</v>
      </c>
      <c r="J26" t="s">
        <v>40</v>
      </c>
      <c r="K26" t="s">
        <v>15</v>
      </c>
      <c r="L26">
        <v>0.99514975748787438</v>
      </c>
      <c r="M26">
        <f t="shared" si="0"/>
        <v>530.48</v>
      </c>
    </row>
    <row r="27" spans="1:13" x14ac:dyDescent="0.3">
      <c r="A27">
        <v>2820</v>
      </c>
      <c r="B27" t="s">
        <v>31</v>
      </c>
      <c r="C27" t="s">
        <v>17</v>
      </c>
      <c r="D27">
        <v>3780</v>
      </c>
      <c r="E27">
        <v>3</v>
      </c>
      <c r="F27">
        <v>1</v>
      </c>
      <c r="G27">
        <v>2000</v>
      </c>
      <c r="H27">
        <v>1999144.902</v>
      </c>
      <c r="I27">
        <v>3886.2811849999998</v>
      </c>
      <c r="J27" t="s">
        <v>40</v>
      </c>
      <c r="K27" t="s">
        <v>30</v>
      </c>
      <c r="L27">
        <v>0.99959997999899997</v>
      </c>
      <c r="M27">
        <f t="shared" si="0"/>
        <v>528.87</v>
      </c>
    </row>
    <row r="28" spans="1:13" x14ac:dyDescent="0.3">
      <c r="A28">
        <v>2837</v>
      </c>
      <c r="B28" t="s">
        <v>19</v>
      </c>
      <c r="C28" t="s">
        <v>13</v>
      </c>
      <c r="D28">
        <v>4009</v>
      </c>
      <c r="E28">
        <v>2</v>
      </c>
      <c r="F28">
        <v>1</v>
      </c>
      <c r="G28">
        <v>1970</v>
      </c>
      <c r="H28">
        <v>1994386.3929999999</v>
      </c>
      <c r="I28">
        <v>2602.820138</v>
      </c>
      <c r="J28" t="s">
        <v>25</v>
      </c>
      <c r="K28" t="s">
        <v>30</v>
      </c>
      <c r="L28">
        <v>0.99734986749337462</v>
      </c>
      <c r="M28">
        <f t="shared" si="0"/>
        <v>497.48</v>
      </c>
    </row>
    <row r="29" spans="1:13" x14ac:dyDescent="0.3">
      <c r="A29">
        <v>2842</v>
      </c>
      <c r="B29" t="s">
        <v>12</v>
      </c>
      <c r="C29" t="s">
        <v>27</v>
      </c>
      <c r="D29">
        <v>4263</v>
      </c>
      <c r="E29">
        <v>4</v>
      </c>
      <c r="F29">
        <v>1</v>
      </c>
      <c r="G29">
        <v>1987</v>
      </c>
      <c r="H29">
        <v>1993595.0859999999</v>
      </c>
      <c r="I29">
        <v>6899.9252370000004</v>
      </c>
      <c r="J29" t="s">
        <v>28</v>
      </c>
      <c r="K29" t="s">
        <v>30</v>
      </c>
      <c r="L29">
        <v>0.99709985499274967</v>
      </c>
      <c r="M29">
        <f t="shared" si="0"/>
        <v>467.65</v>
      </c>
    </row>
    <row r="30" spans="1:13" x14ac:dyDescent="0.3">
      <c r="A30">
        <v>3059</v>
      </c>
      <c r="B30" t="s">
        <v>22</v>
      </c>
      <c r="C30" t="s">
        <v>20</v>
      </c>
      <c r="D30">
        <v>4504</v>
      </c>
      <c r="E30">
        <v>5</v>
      </c>
      <c r="F30">
        <v>2</v>
      </c>
      <c r="G30">
        <v>2020</v>
      </c>
      <c r="H30">
        <v>1988758.358</v>
      </c>
      <c r="I30">
        <v>7152.3960360000001</v>
      </c>
      <c r="J30" t="s">
        <v>38</v>
      </c>
      <c r="K30" t="s">
        <v>26</v>
      </c>
      <c r="L30">
        <v>0.99509975498774939</v>
      </c>
      <c r="M30">
        <f t="shared" si="0"/>
        <v>441.55</v>
      </c>
    </row>
    <row r="31" spans="1:13" x14ac:dyDescent="0.3">
      <c r="A31" s="6">
        <v>3226</v>
      </c>
      <c r="B31" s="6" t="s">
        <v>16</v>
      </c>
      <c r="C31" s="6" t="s">
        <v>20</v>
      </c>
      <c r="D31" s="6">
        <v>1118</v>
      </c>
      <c r="E31" s="6">
        <v>3</v>
      </c>
      <c r="F31" s="6">
        <v>2</v>
      </c>
      <c r="G31" s="6">
        <v>1971</v>
      </c>
      <c r="H31" s="6">
        <v>1991422.7339999999</v>
      </c>
      <c r="I31" s="6">
        <v>6748.0815160000002</v>
      </c>
      <c r="J31" s="6" t="s">
        <v>21</v>
      </c>
      <c r="K31" s="6" t="s">
        <v>15</v>
      </c>
      <c r="L31" s="6">
        <v>0.99614980749037452</v>
      </c>
      <c r="M31" s="6">
        <f t="shared" si="0"/>
        <v>1781.24</v>
      </c>
    </row>
    <row r="32" spans="1:13" x14ac:dyDescent="0.3">
      <c r="A32">
        <v>3244</v>
      </c>
      <c r="B32" t="s">
        <v>31</v>
      </c>
      <c r="C32" t="s">
        <v>33</v>
      </c>
      <c r="D32">
        <v>3809</v>
      </c>
      <c r="E32">
        <v>1</v>
      </c>
      <c r="F32">
        <v>3</v>
      </c>
      <c r="G32">
        <v>1965</v>
      </c>
      <c r="H32">
        <v>1983334.2549999999</v>
      </c>
      <c r="I32">
        <v>1551.385526</v>
      </c>
      <c r="J32" t="s">
        <v>39</v>
      </c>
      <c r="K32" t="s">
        <v>30</v>
      </c>
      <c r="L32">
        <v>0.99249962498124911</v>
      </c>
      <c r="M32">
        <f t="shared" si="0"/>
        <v>520.70000000000005</v>
      </c>
    </row>
    <row r="33" spans="1:13" x14ac:dyDescent="0.3">
      <c r="A33" s="6">
        <v>3255</v>
      </c>
      <c r="B33" s="6" t="s">
        <v>16</v>
      </c>
      <c r="C33" s="6" t="s">
        <v>33</v>
      </c>
      <c r="D33" s="6">
        <v>715</v>
      </c>
      <c r="E33" s="6">
        <v>5</v>
      </c>
      <c r="F33" s="6">
        <v>2</v>
      </c>
      <c r="G33" s="6">
        <v>1971</v>
      </c>
      <c r="H33" s="6">
        <v>1982069.1440000001</v>
      </c>
      <c r="I33" s="6">
        <v>2165.9345189999999</v>
      </c>
      <c r="J33" s="6" t="s">
        <v>39</v>
      </c>
      <c r="K33" s="6" t="s">
        <v>30</v>
      </c>
      <c r="L33" s="6">
        <v>0.991899594979749</v>
      </c>
      <c r="M33" s="6">
        <f t="shared" si="0"/>
        <v>2772.12</v>
      </c>
    </row>
    <row r="34" spans="1:13" x14ac:dyDescent="0.3">
      <c r="A34" s="6">
        <v>3318</v>
      </c>
      <c r="B34" s="6" t="s">
        <v>31</v>
      </c>
      <c r="C34" s="6" t="s">
        <v>17</v>
      </c>
      <c r="D34" s="6">
        <v>899</v>
      </c>
      <c r="E34" s="6">
        <v>3</v>
      </c>
      <c r="F34" s="6">
        <v>1</v>
      </c>
      <c r="G34" s="6">
        <v>1954</v>
      </c>
      <c r="H34" s="6">
        <v>1981581.8910000001</v>
      </c>
      <c r="I34" s="6">
        <v>5250.0683559999998</v>
      </c>
      <c r="J34" s="6" t="s">
        <v>40</v>
      </c>
      <c r="K34" s="6" t="s">
        <v>15</v>
      </c>
      <c r="L34" s="6">
        <v>0.99169958497924893</v>
      </c>
      <c r="M34" s="6">
        <f t="shared" si="0"/>
        <v>2204.21</v>
      </c>
    </row>
    <row r="35" spans="1:13" x14ac:dyDescent="0.3">
      <c r="A35">
        <v>3393</v>
      </c>
      <c r="B35" t="s">
        <v>31</v>
      </c>
      <c r="C35" t="s">
        <v>27</v>
      </c>
      <c r="D35">
        <v>3208</v>
      </c>
      <c r="E35">
        <v>3</v>
      </c>
      <c r="F35">
        <v>1</v>
      </c>
      <c r="G35">
        <v>1971</v>
      </c>
      <c r="H35">
        <v>1997244.074</v>
      </c>
      <c r="I35">
        <v>748.15756529999999</v>
      </c>
      <c r="J35" t="s">
        <v>25</v>
      </c>
      <c r="K35" t="s">
        <v>30</v>
      </c>
      <c r="L35">
        <v>0.99844992249612485</v>
      </c>
      <c r="M35">
        <f t="shared" si="0"/>
        <v>622.58000000000004</v>
      </c>
    </row>
    <row r="36" spans="1:13" x14ac:dyDescent="0.3">
      <c r="A36">
        <v>3428</v>
      </c>
      <c r="B36" t="s">
        <v>12</v>
      </c>
      <c r="C36" t="s">
        <v>20</v>
      </c>
      <c r="D36">
        <v>3989</v>
      </c>
      <c r="E36">
        <v>3</v>
      </c>
      <c r="F36">
        <v>3</v>
      </c>
      <c r="G36">
        <v>1962</v>
      </c>
      <c r="H36">
        <v>1979603.047</v>
      </c>
      <c r="I36">
        <v>7217.423554</v>
      </c>
      <c r="J36" t="s">
        <v>38</v>
      </c>
      <c r="K36" t="s">
        <v>30</v>
      </c>
      <c r="L36">
        <v>0.99094954747737385</v>
      </c>
      <c r="M36">
        <f t="shared" si="0"/>
        <v>496.27</v>
      </c>
    </row>
    <row r="37" spans="1:13" x14ac:dyDescent="0.3">
      <c r="A37" s="6">
        <v>3484</v>
      </c>
      <c r="B37" s="6" t="s">
        <v>12</v>
      </c>
      <c r="C37" s="6" t="s">
        <v>20</v>
      </c>
      <c r="D37" s="6">
        <v>1209</v>
      </c>
      <c r="E37" s="6">
        <v>1</v>
      </c>
      <c r="F37" s="6">
        <v>2</v>
      </c>
      <c r="G37" s="6">
        <v>2016</v>
      </c>
      <c r="H37" s="6">
        <v>1987269.7649999999</v>
      </c>
      <c r="I37" s="6">
        <v>4142.0369570000003</v>
      </c>
      <c r="J37" s="6" t="s">
        <v>41</v>
      </c>
      <c r="K37" s="6" t="s">
        <v>30</v>
      </c>
      <c r="L37" s="6">
        <v>0.99444972248612429</v>
      </c>
      <c r="M37" s="6">
        <f t="shared" si="0"/>
        <v>1643.73</v>
      </c>
    </row>
    <row r="38" spans="1:13" x14ac:dyDescent="0.3">
      <c r="A38">
        <v>3526</v>
      </c>
      <c r="B38" t="s">
        <v>12</v>
      </c>
      <c r="C38" t="s">
        <v>20</v>
      </c>
      <c r="D38">
        <v>3078</v>
      </c>
      <c r="E38">
        <v>1</v>
      </c>
      <c r="F38">
        <v>1</v>
      </c>
      <c r="G38">
        <v>2015</v>
      </c>
      <c r="H38">
        <v>1986173.7890000001</v>
      </c>
      <c r="I38">
        <v>6739.0144550000005</v>
      </c>
      <c r="J38" t="s">
        <v>21</v>
      </c>
      <c r="K38" t="s">
        <v>15</v>
      </c>
      <c r="L38">
        <v>0.99384969248462418</v>
      </c>
      <c r="M38">
        <f t="shared" si="0"/>
        <v>645.28</v>
      </c>
    </row>
    <row r="39" spans="1:13" x14ac:dyDescent="0.3">
      <c r="A39">
        <v>3650</v>
      </c>
      <c r="B39" t="s">
        <v>19</v>
      </c>
      <c r="C39" t="s">
        <v>33</v>
      </c>
      <c r="D39">
        <v>4839</v>
      </c>
      <c r="E39">
        <v>2</v>
      </c>
      <c r="F39">
        <v>1</v>
      </c>
      <c r="G39">
        <v>1972</v>
      </c>
      <c r="H39">
        <v>1979884.737</v>
      </c>
      <c r="I39">
        <v>952.93049029999997</v>
      </c>
      <c r="J39" t="s">
        <v>34</v>
      </c>
      <c r="K39" t="s">
        <v>15</v>
      </c>
      <c r="L39">
        <v>0.99114955747787392</v>
      </c>
      <c r="M39">
        <f t="shared" si="0"/>
        <v>409.15</v>
      </c>
    </row>
    <row r="40" spans="1:13" x14ac:dyDescent="0.3">
      <c r="A40">
        <v>3731</v>
      </c>
      <c r="B40" t="s">
        <v>31</v>
      </c>
      <c r="C40" t="s">
        <v>23</v>
      </c>
      <c r="D40">
        <v>4977</v>
      </c>
      <c r="E40">
        <v>5</v>
      </c>
      <c r="F40">
        <v>2</v>
      </c>
      <c r="G40">
        <v>1990</v>
      </c>
      <c r="H40">
        <v>1992072.6510000001</v>
      </c>
      <c r="I40">
        <v>6710.236519</v>
      </c>
      <c r="J40" t="s">
        <v>24</v>
      </c>
      <c r="K40" t="s">
        <v>30</v>
      </c>
      <c r="L40">
        <v>0.99649982499124956</v>
      </c>
      <c r="M40">
        <f t="shared" si="0"/>
        <v>400.26</v>
      </c>
    </row>
    <row r="41" spans="1:13" x14ac:dyDescent="0.3">
      <c r="A41">
        <v>3924</v>
      </c>
      <c r="B41" t="s">
        <v>22</v>
      </c>
      <c r="C41" t="s">
        <v>33</v>
      </c>
      <c r="D41">
        <v>4839</v>
      </c>
      <c r="E41">
        <v>4</v>
      </c>
      <c r="F41">
        <v>3</v>
      </c>
      <c r="G41">
        <v>1990</v>
      </c>
      <c r="H41">
        <v>1985488.2250000001</v>
      </c>
      <c r="I41">
        <v>7244.1249529999996</v>
      </c>
      <c r="J41" t="s">
        <v>39</v>
      </c>
      <c r="K41" t="s">
        <v>30</v>
      </c>
      <c r="L41">
        <v>0.99329966498324918</v>
      </c>
      <c r="M41">
        <f t="shared" si="0"/>
        <v>410.31</v>
      </c>
    </row>
    <row r="42" spans="1:13" x14ac:dyDescent="0.3">
      <c r="A42">
        <v>4014</v>
      </c>
      <c r="B42" t="s">
        <v>12</v>
      </c>
      <c r="C42" t="s">
        <v>27</v>
      </c>
      <c r="D42">
        <v>2513</v>
      </c>
      <c r="E42">
        <v>4</v>
      </c>
      <c r="F42">
        <v>1</v>
      </c>
      <c r="G42">
        <v>1999</v>
      </c>
      <c r="H42">
        <v>1987951.304</v>
      </c>
      <c r="I42">
        <v>3981.7472229999998</v>
      </c>
      <c r="J42" t="s">
        <v>25</v>
      </c>
      <c r="K42" t="s">
        <v>30</v>
      </c>
      <c r="L42">
        <v>0.99459972998649937</v>
      </c>
      <c r="M42">
        <f t="shared" si="0"/>
        <v>791.07</v>
      </c>
    </row>
    <row r="43" spans="1:13" x14ac:dyDescent="0.3">
      <c r="A43" s="6">
        <v>4139</v>
      </c>
      <c r="B43" s="6" t="s">
        <v>22</v>
      </c>
      <c r="C43" s="6" t="s">
        <v>33</v>
      </c>
      <c r="D43" s="6">
        <v>774</v>
      </c>
      <c r="E43" s="6">
        <v>5</v>
      </c>
      <c r="F43" s="6">
        <v>2</v>
      </c>
      <c r="G43" s="6">
        <v>1985</v>
      </c>
      <c r="H43" s="6">
        <v>1983461.709</v>
      </c>
      <c r="I43" s="6">
        <v>3266.64012</v>
      </c>
      <c r="J43" s="6" t="s">
        <v>42</v>
      </c>
      <c r="K43" s="6" t="s">
        <v>30</v>
      </c>
      <c r="L43" s="6">
        <v>0.9925496274813741</v>
      </c>
      <c r="M43" s="6">
        <f t="shared" si="0"/>
        <v>2562.61</v>
      </c>
    </row>
    <row r="44" spans="1:13" x14ac:dyDescent="0.3">
      <c r="A44" s="6">
        <v>4146</v>
      </c>
      <c r="B44" s="6" t="s">
        <v>16</v>
      </c>
      <c r="C44" s="6" t="s">
        <v>23</v>
      </c>
      <c r="D44" s="6">
        <v>916</v>
      </c>
      <c r="E44" s="6">
        <v>5</v>
      </c>
      <c r="F44" s="6">
        <v>3</v>
      </c>
      <c r="G44" s="6">
        <v>2015</v>
      </c>
      <c r="H44" s="6">
        <v>1981432.4450000001</v>
      </c>
      <c r="I44" s="6">
        <v>1249.485512</v>
      </c>
      <c r="J44" s="6" t="s">
        <v>36</v>
      </c>
      <c r="K44" s="6" t="s">
        <v>15</v>
      </c>
      <c r="L44" s="6">
        <v>0.99159957997899895</v>
      </c>
      <c r="M44" s="6">
        <f t="shared" si="0"/>
        <v>2163.14</v>
      </c>
    </row>
    <row r="45" spans="1:13" x14ac:dyDescent="0.3">
      <c r="A45">
        <v>4306</v>
      </c>
      <c r="B45" t="s">
        <v>16</v>
      </c>
      <c r="C45" t="s">
        <v>13</v>
      </c>
      <c r="D45">
        <v>3716</v>
      </c>
      <c r="E45">
        <v>2</v>
      </c>
      <c r="F45">
        <v>3</v>
      </c>
      <c r="G45">
        <v>2009</v>
      </c>
      <c r="H45">
        <v>1990964.6680000001</v>
      </c>
      <c r="I45">
        <v>1186.89167</v>
      </c>
      <c r="J45" t="s">
        <v>14</v>
      </c>
      <c r="K45" t="s">
        <v>30</v>
      </c>
      <c r="L45">
        <v>0.99574978748937448</v>
      </c>
      <c r="M45">
        <f t="shared" si="0"/>
        <v>535.78</v>
      </c>
    </row>
    <row r="46" spans="1:13" x14ac:dyDescent="0.3">
      <c r="A46">
        <v>4408</v>
      </c>
      <c r="B46" t="s">
        <v>16</v>
      </c>
      <c r="C46" t="s">
        <v>27</v>
      </c>
      <c r="D46">
        <v>4739</v>
      </c>
      <c r="E46">
        <v>5</v>
      </c>
      <c r="F46">
        <v>2</v>
      </c>
      <c r="G46">
        <v>2007</v>
      </c>
      <c r="H46">
        <v>1998835.4010000001</v>
      </c>
      <c r="I46">
        <v>6326.1342949999998</v>
      </c>
      <c r="J46" t="s">
        <v>28</v>
      </c>
      <c r="K46" t="s">
        <v>15</v>
      </c>
      <c r="L46">
        <v>0.99924996249812492</v>
      </c>
      <c r="M46">
        <f t="shared" si="0"/>
        <v>421.78</v>
      </c>
    </row>
    <row r="47" spans="1:13" x14ac:dyDescent="0.3">
      <c r="A47">
        <v>4473</v>
      </c>
      <c r="B47" t="s">
        <v>12</v>
      </c>
      <c r="C47" t="s">
        <v>27</v>
      </c>
      <c r="D47">
        <v>4159</v>
      </c>
      <c r="E47">
        <v>1</v>
      </c>
      <c r="F47">
        <v>1</v>
      </c>
      <c r="G47">
        <v>2013</v>
      </c>
      <c r="H47">
        <v>1997493.7949999999</v>
      </c>
      <c r="I47">
        <v>3937.1527759999999</v>
      </c>
      <c r="J47" t="s">
        <v>29</v>
      </c>
      <c r="K47" t="s">
        <v>15</v>
      </c>
      <c r="L47">
        <v>0.99864993249662481</v>
      </c>
      <c r="M47">
        <f t="shared" si="0"/>
        <v>480.28</v>
      </c>
    </row>
    <row r="48" spans="1:13" x14ac:dyDescent="0.3">
      <c r="A48" s="6">
        <v>4477</v>
      </c>
      <c r="B48" s="6" t="s">
        <v>22</v>
      </c>
      <c r="C48" s="6" t="s">
        <v>33</v>
      </c>
      <c r="D48" s="6">
        <v>1198</v>
      </c>
      <c r="E48" s="6">
        <v>3</v>
      </c>
      <c r="F48" s="6">
        <v>3</v>
      </c>
      <c r="G48" s="6">
        <v>1960</v>
      </c>
      <c r="H48" s="6">
        <v>1991526.273</v>
      </c>
      <c r="I48" s="6">
        <v>1114.4058910000001</v>
      </c>
      <c r="J48" s="6" t="s">
        <v>34</v>
      </c>
      <c r="K48" s="6" t="s">
        <v>15</v>
      </c>
      <c r="L48" s="6">
        <v>0.9962498124906245</v>
      </c>
      <c r="M48" s="6">
        <f t="shared" si="0"/>
        <v>1662.38</v>
      </c>
    </row>
    <row r="49" spans="1:13" x14ac:dyDescent="0.3">
      <c r="A49">
        <v>4480</v>
      </c>
      <c r="B49" t="s">
        <v>31</v>
      </c>
      <c r="C49" t="s">
        <v>23</v>
      </c>
      <c r="D49">
        <v>2653</v>
      </c>
      <c r="E49">
        <v>5</v>
      </c>
      <c r="F49">
        <v>2</v>
      </c>
      <c r="G49">
        <v>2012</v>
      </c>
      <c r="H49">
        <v>1989568.5560000001</v>
      </c>
      <c r="I49">
        <v>4581.0129159999997</v>
      </c>
      <c r="J49" t="s">
        <v>24</v>
      </c>
      <c r="K49" t="s">
        <v>15</v>
      </c>
      <c r="L49">
        <v>0.99529976498824946</v>
      </c>
      <c r="M49">
        <f t="shared" si="0"/>
        <v>749.93</v>
      </c>
    </row>
    <row r="50" spans="1:13" x14ac:dyDescent="0.3">
      <c r="A50">
        <v>4618</v>
      </c>
      <c r="B50" t="s">
        <v>12</v>
      </c>
      <c r="C50" t="s">
        <v>13</v>
      </c>
      <c r="D50">
        <v>4909</v>
      </c>
      <c r="E50">
        <v>5</v>
      </c>
      <c r="F50">
        <v>1</v>
      </c>
      <c r="G50">
        <v>1989</v>
      </c>
      <c r="H50">
        <v>1998889.689</v>
      </c>
      <c r="I50">
        <v>2308.6572019999999</v>
      </c>
      <c r="J50" t="s">
        <v>25</v>
      </c>
      <c r="K50" t="s">
        <v>30</v>
      </c>
      <c r="L50">
        <v>0.9993499674983749</v>
      </c>
      <c r="M50">
        <f t="shared" si="0"/>
        <v>407.19</v>
      </c>
    </row>
    <row r="51" spans="1:13" x14ac:dyDescent="0.3">
      <c r="A51">
        <v>4728</v>
      </c>
      <c r="B51" t="s">
        <v>22</v>
      </c>
      <c r="C51" t="s">
        <v>27</v>
      </c>
      <c r="D51">
        <v>2986</v>
      </c>
      <c r="E51">
        <v>5</v>
      </c>
      <c r="F51">
        <v>2</v>
      </c>
      <c r="G51">
        <v>1999</v>
      </c>
      <c r="H51">
        <v>1985593.334</v>
      </c>
      <c r="I51">
        <v>5958.0222839999997</v>
      </c>
      <c r="J51" t="s">
        <v>29</v>
      </c>
      <c r="K51" t="s">
        <v>30</v>
      </c>
      <c r="L51">
        <v>0.99334966748337417</v>
      </c>
      <c r="M51">
        <f t="shared" si="0"/>
        <v>664.97</v>
      </c>
    </row>
    <row r="52" spans="1:13" x14ac:dyDescent="0.3">
      <c r="A52" s="6">
        <v>4752</v>
      </c>
      <c r="B52" s="6" t="s">
        <v>12</v>
      </c>
      <c r="C52" s="6" t="s">
        <v>23</v>
      </c>
      <c r="D52" s="6">
        <v>654</v>
      </c>
      <c r="E52" s="6">
        <v>1</v>
      </c>
      <c r="F52" s="6">
        <v>1</v>
      </c>
      <c r="G52" s="6">
        <v>1980</v>
      </c>
      <c r="H52" s="6">
        <v>1996931.46</v>
      </c>
      <c r="I52" s="6">
        <v>2832.5436300000001</v>
      </c>
      <c r="J52" s="6" t="s">
        <v>36</v>
      </c>
      <c r="K52" s="6" t="s">
        <v>15</v>
      </c>
      <c r="L52" s="6">
        <v>0.99829991499574977</v>
      </c>
      <c r="M52" s="6">
        <f t="shared" si="0"/>
        <v>3053.41</v>
      </c>
    </row>
    <row r="53" spans="1:13" x14ac:dyDescent="0.3">
      <c r="A53" s="6">
        <v>4757</v>
      </c>
      <c r="B53" s="6" t="s">
        <v>16</v>
      </c>
      <c r="C53" s="6" t="s">
        <v>27</v>
      </c>
      <c r="D53" s="6">
        <v>1963</v>
      </c>
      <c r="E53" s="6">
        <v>4</v>
      </c>
      <c r="F53" s="6">
        <v>3</v>
      </c>
      <c r="G53" s="6">
        <v>2010</v>
      </c>
      <c r="H53" s="6">
        <v>1986712.0660000001</v>
      </c>
      <c r="I53" s="6">
        <v>7714.7787349999999</v>
      </c>
      <c r="J53" s="6" t="s">
        <v>29</v>
      </c>
      <c r="K53" s="6" t="s">
        <v>15</v>
      </c>
      <c r="L53" s="6">
        <v>0.99404970248512425</v>
      </c>
      <c r="M53" s="6">
        <f t="shared" si="0"/>
        <v>1012.08</v>
      </c>
    </row>
    <row r="54" spans="1:13" x14ac:dyDescent="0.3">
      <c r="A54" s="6">
        <v>4894</v>
      </c>
      <c r="B54" s="6" t="s">
        <v>12</v>
      </c>
      <c r="C54" s="6" t="s">
        <v>20</v>
      </c>
      <c r="D54" s="6">
        <v>1603</v>
      </c>
      <c r="E54" s="6">
        <v>2</v>
      </c>
      <c r="F54" s="6">
        <v>3</v>
      </c>
      <c r="G54" s="6">
        <v>2006</v>
      </c>
      <c r="H54" s="6">
        <v>1998537.3119999999</v>
      </c>
      <c r="I54" s="6">
        <v>3708.9165750000002</v>
      </c>
      <c r="J54" s="6" t="s">
        <v>21</v>
      </c>
      <c r="K54" s="6" t="s">
        <v>30</v>
      </c>
      <c r="L54" s="6">
        <v>0.99919995999799993</v>
      </c>
      <c r="M54" s="6">
        <f t="shared" si="0"/>
        <v>1246.75</v>
      </c>
    </row>
    <row r="55" spans="1:13" x14ac:dyDescent="0.3">
      <c r="A55" s="6">
        <v>5292</v>
      </c>
      <c r="B55" s="6" t="s">
        <v>31</v>
      </c>
      <c r="C55" s="6" t="s">
        <v>17</v>
      </c>
      <c r="D55" s="6">
        <v>680</v>
      </c>
      <c r="E55" s="6">
        <v>4</v>
      </c>
      <c r="F55" s="6">
        <v>2</v>
      </c>
      <c r="G55" s="6">
        <v>1993</v>
      </c>
      <c r="H55" s="6">
        <v>1987183.757</v>
      </c>
      <c r="I55" s="6">
        <v>3642.4394069999998</v>
      </c>
      <c r="J55" s="6" t="s">
        <v>18</v>
      </c>
      <c r="K55" s="6" t="s">
        <v>26</v>
      </c>
      <c r="L55" s="6">
        <v>0.99434971748587431</v>
      </c>
      <c r="M55" s="6">
        <f t="shared" si="0"/>
        <v>2922.33</v>
      </c>
    </row>
    <row r="56" spans="1:13" x14ac:dyDescent="0.3">
      <c r="A56" s="6">
        <v>5683</v>
      </c>
      <c r="B56" s="6" t="s">
        <v>12</v>
      </c>
      <c r="C56" s="6" t="s">
        <v>13</v>
      </c>
      <c r="D56" s="6">
        <v>937</v>
      </c>
      <c r="E56" s="6">
        <v>4</v>
      </c>
      <c r="F56" s="6">
        <v>3</v>
      </c>
      <c r="G56" s="6">
        <v>1984</v>
      </c>
      <c r="H56" s="6">
        <v>1983868.5719999999</v>
      </c>
      <c r="I56" s="6">
        <v>594.24326429999996</v>
      </c>
      <c r="J56" s="6" t="s">
        <v>14</v>
      </c>
      <c r="K56" s="6" t="s">
        <v>15</v>
      </c>
      <c r="L56" s="6">
        <v>0.99264963248162408</v>
      </c>
      <c r="M56" s="6">
        <f t="shared" si="0"/>
        <v>2117.2600000000002</v>
      </c>
    </row>
    <row r="57" spans="1:13" x14ac:dyDescent="0.3">
      <c r="A57">
        <v>5788</v>
      </c>
      <c r="B57" t="s">
        <v>19</v>
      </c>
      <c r="C57" t="s">
        <v>23</v>
      </c>
      <c r="D57">
        <v>2653</v>
      </c>
      <c r="E57">
        <v>1</v>
      </c>
      <c r="F57">
        <v>2</v>
      </c>
      <c r="G57">
        <v>1994</v>
      </c>
      <c r="H57">
        <v>1985218.0160000001</v>
      </c>
      <c r="I57">
        <v>5163.7311810000001</v>
      </c>
      <c r="J57" t="s">
        <v>36</v>
      </c>
      <c r="K57" t="s">
        <v>15</v>
      </c>
      <c r="L57">
        <v>0.99319965998299919</v>
      </c>
      <c r="M57">
        <f t="shared" si="0"/>
        <v>748.29</v>
      </c>
    </row>
    <row r="58" spans="1:13" x14ac:dyDescent="0.3">
      <c r="A58">
        <v>5988</v>
      </c>
      <c r="B58" t="s">
        <v>16</v>
      </c>
      <c r="C58" t="s">
        <v>13</v>
      </c>
      <c r="D58">
        <v>2962</v>
      </c>
      <c r="E58">
        <v>3</v>
      </c>
      <c r="F58">
        <v>3</v>
      </c>
      <c r="G58">
        <v>1973</v>
      </c>
      <c r="H58">
        <v>1991380.206</v>
      </c>
      <c r="I58">
        <v>2987.9295940000002</v>
      </c>
      <c r="J58" t="s">
        <v>25</v>
      </c>
      <c r="K58" t="s">
        <v>30</v>
      </c>
      <c r="L58">
        <v>0.99604980249012454</v>
      </c>
      <c r="M58">
        <f t="shared" si="0"/>
        <v>672.31</v>
      </c>
    </row>
    <row r="59" spans="1:13" x14ac:dyDescent="0.3">
      <c r="A59">
        <v>5992</v>
      </c>
      <c r="B59" t="s">
        <v>12</v>
      </c>
      <c r="C59" t="s">
        <v>27</v>
      </c>
      <c r="D59">
        <v>4942</v>
      </c>
      <c r="E59">
        <v>2</v>
      </c>
      <c r="F59">
        <v>1</v>
      </c>
      <c r="G59">
        <v>1959</v>
      </c>
      <c r="H59">
        <v>1996408.2450000001</v>
      </c>
      <c r="I59">
        <v>5104.8047790000001</v>
      </c>
      <c r="J59" t="s">
        <v>25</v>
      </c>
      <c r="K59" t="s">
        <v>30</v>
      </c>
      <c r="L59">
        <v>0.99804990249512471</v>
      </c>
      <c r="M59">
        <f t="shared" si="0"/>
        <v>403.97</v>
      </c>
    </row>
    <row r="60" spans="1:13" x14ac:dyDescent="0.3">
      <c r="A60" s="6">
        <v>6084</v>
      </c>
      <c r="B60" s="6" t="s">
        <v>31</v>
      </c>
      <c r="C60" s="6" t="s">
        <v>17</v>
      </c>
      <c r="D60" s="6">
        <v>1472</v>
      </c>
      <c r="E60" s="6">
        <v>5</v>
      </c>
      <c r="F60" s="6">
        <v>2</v>
      </c>
      <c r="G60" s="6">
        <v>1980</v>
      </c>
      <c r="H60" s="6">
        <v>1987334.4339999999</v>
      </c>
      <c r="I60" s="6">
        <v>3808.4454930000002</v>
      </c>
      <c r="J60" s="6" t="s">
        <v>18</v>
      </c>
      <c r="K60" s="6" t="s">
        <v>30</v>
      </c>
      <c r="L60" s="6">
        <v>0.99454972748637427</v>
      </c>
      <c r="M60" s="6">
        <f t="shared" si="0"/>
        <v>1350.09</v>
      </c>
    </row>
    <row r="61" spans="1:13" x14ac:dyDescent="0.3">
      <c r="A61">
        <v>6339</v>
      </c>
      <c r="B61" t="s">
        <v>31</v>
      </c>
      <c r="C61" t="s">
        <v>13</v>
      </c>
      <c r="D61">
        <v>2488</v>
      </c>
      <c r="E61">
        <v>5</v>
      </c>
      <c r="F61">
        <v>2</v>
      </c>
      <c r="G61">
        <v>1976</v>
      </c>
      <c r="H61">
        <v>1979714.2439999999</v>
      </c>
      <c r="I61">
        <v>4588.9914550000003</v>
      </c>
      <c r="J61" t="s">
        <v>32</v>
      </c>
      <c r="K61" t="s">
        <v>30</v>
      </c>
      <c r="L61">
        <v>0.99099954997749884</v>
      </c>
      <c r="M61">
        <f t="shared" si="0"/>
        <v>795.71</v>
      </c>
    </row>
    <row r="62" spans="1:13" x14ac:dyDescent="0.3">
      <c r="A62" s="6">
        <v>6347</v>
      </c>
      <c r="B62" s="6" t="s">
        <v>16</v>
      </c>
      <c r="C62" s="6" t="s">
        <v>23</v>
      </c>
      <c r="D62" s="6">
        <v>1154</v>
      </c>
      <c r="E62" s="6">
        <v>5</v>
      </c>
      <c r="F62" s="6">
        <v>3</v>
      </c>
      <c r="G62" s="6">
        <v>1982</v>
      </c>
      <c r="H62" s="6">
        <v>1998915.446</v>
      </c>
      <c r="I62" s="6">
        <v>2866.538082</v>
      </c>
      <c r="J62" s="6" t="s">
        <v>36</v>
      </c>
      <c r="K62" s="6" t="s">
        <v>30</v>
      </c>
      <c r="L62" s="6">
        <v>0.99939996999849989</v>
      </c>
      <c r="M62" s="6">
        <f t="shared" si="0"/>
        <v>1732.16</v>
      </c>
    </row>
    <row r="63" spans="1:13" x14ac:dyDescent="0.3">
      <c r="A63">
        <v>6382</v>
      </c>
      <c r="B63" t="s">
        <v>31</v>
      </c>
      <c r="C63" t="s">
        <v>23</v>
      </c>
      <c r="D63">
        <v>2215</v>
      </c>
      <c r="E63">
        <v>2</v>
      </c>
      <c r="F63">
        <v>3</v>
      </c>
      <c r="G63">
        <v>1987</v>
      </c>
      <c r="H63">
        <v>1985040.9140000001</v>
      </c>
      <c r="I63">
        <v>7100.0646390000002</v>
      </c>
      <c r="J63" t="s">
        <v>25</v>
      </c>
      <c r="K63" t="s">
        <v>26</v>
      </c>
      <c r="L63">
        <v>0.99299964998249912</v>
      </c>
      <c r="M63">
        <f t="shared" si="0"/>
        <v>896.18</v>
      </c>
    </row>
    <row r="64" spans="1:13" x14ac:dyDescent="0.3">
      <c r="A64">
        <v>6494</v>
      </c>
      <c r="B64" t="s">
        <v>31</v>
      </c>
      <c r="C64" t="s">
        <v>27</v>
      </c>
      <c r="D64">
        <v>4281</v>
      </c>
      <c r="E64">
        <v>3</v>
      </c>
      <c r="F64">
        <v>1</v>
      </c>
      <c r="G64">
        <v>1971</v>
      </c>
      <c r="H64">
        <v>1991459.2720000001</v>
      </c>
      <c r="I64">
        <v>6480.8948209999999</v>
      </c>
      <c r="J64" t="s">
        <v>28</v>
      </c>
      <c r="K64" t="s">
        <v>30</v>
      </c>
      <c r="L64">
        <v>0.99619980999049951</v>
      </c>
      <c r="M64">
        <f t="shared" si="0"/>
        <v>465.19</v>
      </c>
    </row>
    <row r="65" spans="1:13" x14ac:dyDescent="0.3">
      <c r="A65" s="6">
        <v>6745</v>
      </c>
      <c r="B65" s="6" t="s">
        <v>31</v>
      </c>
      <c r="C65" s="6" t="s">
        <v>27</v>
      </c>
      <c r="D65" s="6">
        <v>1222</v>
      </c>
      <c r="E65" s="6">
        <v>4</v>
      </c>
      <c r="F65" s="6">
        <v>2</v>
      </c>
      <c r="G65" s="6">
        <v>1966</v>
      </c>
      <c r="H65" s="6">
        <v>1982599.828</v>
      </c>
      <c r="I65" s="6">
        <v>4128.2622789999996</v>
      </c>
      <c r="J65" s="6" t="s">
        <v>29</v>
      </c>
      <c r="K65" s="6" t="s">
        <v>26</v>
      </c>
      <c r="L65" s="6">
        <v>0.99209960498024896</v>
      </c>
      <c r="M65" s="6">
        <f t="shared" si="0"/>
        <v>1622.42</v>
      </c>
    </row>
    <row r="66" spans="1:13" x14ac:dyDescent="0.3">
      <c r="A66">
        <v>6766</v>
      </c>
      <c r="B66" t="s">
        <v>12</v>
      </c>
      <c r="C66" t="s">
        <v>27</v>
      </c>
      <c r="D66">
        <v>2859</v>
      </c>
      <c r="E66">
        <v>5</v>
      </c>
      <c r="F66">
        <v>2</v>
      </c>
      <c r="G66">
        <v>2002</v>
      </c>
      <c r="H66">
        <v>1980647.16</v>
      </c>
      <c r="I66">
        <v>7954.8276999999998</v>
      </c>
      <c r="J66" t="s">
        <v>28</v>
      </c>
      <c r="K66" t="s">
        <v>30</v>
      </c>
      <c r="L66">
        <v>0.99134956747837388</v>
      </c>
      <c r="M66">
        <f t="shared" si="0"/>
        <v>692.78</v>
      </c>
    </row>
    <row r="67" spans="1:13" x14ac:dyDescent="0.3">
      <c r="A67">
        <v>6812</v>
      </c>
      <c r="B67" t="s">
        <v>12</v>
      </c>
      <c r="C67" t="s">
        <v>33</v>
      </c>
      <c r="D67">
        <v>2677</v>
      </c>
      <c r="E67">
        <v>2</v>
      </c>
      <c r="F67">
        <v>3</v>
      </c>
      <c r="G67">
        <v>2015</v>
      </c>
      <c r="H67">
        <v>1996834.2309999999</v>
      </c>
      <c r="I67">
        <v>5836.2841909999997</v>
      </c>
      <c r="J67" t="s">
        <v>34</v>
      </c>
      <c r="K67" t="s">
        <v>30</v>
      </c>
      <c r="L67">
        <v>0.99819990999549979</v>
      </c>
      <c r="M67">
        <f t="shared" ref="M67:M130" si="1">ROUND((H67/D67), 2)</f>
        <v>745.92</v>
      </c>
    </row>
    <row r="68" spans="1:13" x14ac:dyDescent="0.3">
      <c r="A68">
        <v>6824</v>
      </c>
      <c r="B68" t="s">
        <v>22</v>
      </c>
      <c r="C68" t="s">
        <v>33</v>
      </c>
      <c r="D68">
        <v>3610</v>
      </c>
      <c r="E68">
        <v>1</v>
      </c>
      <c r="F68">
        <v>2</v>
      </c>
      <c r="G68">
        <v>1955</v>
      </c>
      <c r="H68">
        <v>1978370.8859999999</v>
      </c>
      <c r="I68">
        <v>6055.1375410000001</v>
      </c>
      <c r="J68" t="s">
        <v>34</v>
      </c>
      <c r="K68" t="s">
        <v>15</v>
      </c>
      <c r="L68">
        <v>0.99019950997549877</v>
      </c>
      <c r="M68">
        <f t="shared" si="1"/>
        <v>548.03</v>
      </c>
    </row>
    <row r="69" spans="1:13" x14ac:dyDescent="0.3">
      <c r="A69">
        <v>6835</v>
      </c>
      <c r="B69" t="s">
        <v>16</v>
      </c>
      <c r="C69" t="s">
        <v>27</v>
      </c>
      <c r="D69">
        <v>4442</v>
      </c>
      <c r="E69">
        <v>2</v>
      </c>
      <c r="F69">
        <v>2</v>
      </c>
      <c r="G69">
        <v>1971</v>
      </c>
      <c r="H69">
        <v>1987108.5279999999</v>
      </c>
      <c r="I69">
        <v>1858.2250260000001</v>
      </c>
      <c r="J69" t="s">
        <v>28</v>
      </c>
      <c r="K69" t="s">
        <v>30</v>
      </c>
      <c r="L69">
        <v>0.99424971248562433</v>
      </c>
      <c r="M69">
        <f t="shared" si="1"/>
        <v>447.35</v>
      </c>
    </row>
    <row r="70" spans="1:13" x14ac:dyDescent="0.3">
      <c r="A70">
        <v>6937</v>
      </c>
      <c r="B70" t="s">
        <v>12</v>
      </c>
      <c r="C70" t="s">
        <v>23</v>
      </c>
      <c r="D70">
        <v>4559</v>
      </c>
      <c r="E70">
        <v>3</v>
      </c>
      <c r="F70">
        <v>1</v>
      </c>
      <c r="G70">
        <v>1983</v>
      </c>
      <c r="H70">
        <v>1978717.246</v>
      </c>
      <c r="I70">
        <v>7516.2084720000003</v>
      </c>
      <c r="J70" t="s">
        <v>24</v>
      </c>
      <c r="K70" t="s">
        <v>15</v>
      </c>
      <c r="L70">
        <v>0.99044952247612383</v>
      </c>
      <c r="M70">
        <f t="shared" si="1"/>
        <v>434.02</v>
      </c>
    </row>
    <row r="71" spans="1:13" x14ac:dyDescent="0.3">
      <c r="A71">
        <v>6943</v>
      </c>
      <c r="B71" t="s">
        <v>16</v>
      </c>
      <c r="C71" t="s">
        <v>27</v>
      </c>
      <c r="D71">
        <v>2810</v>
      </c>
      <c r="E71">
        <v>1</v>
      </c>
      <c r="F71">
        <v>2</v>
      </c>
      <c r="G71">
        <v>2011</v>
      </c>
      <c r="H71">
        <v>1989856.6470000001</v>
      </c>
      <c r="I71">
        <v>1506.75441</v>
      </c>
      <c r="J71" t="s">
        <v>25</v>
      </c>
      <c r="K71" t="s">
        <v>15</v>
      </c>
      <c r="L71">
        <v>0.99539976998849944</v>
      </c>
      <c r="M71">
        <f t="shared" si="1"/>
        <v>708.13</v>
      </c>
    </row>
    <row r="72" spans="1:13" x14ac:dyDescent="0.3">
      <c r="A72">
        <v>7033</v>
      </c>
      <c r="B72" t="s">
        <v>22</v>
      </c>
      <c r="C72" t="s">
        <v>13</v>
      </c>
      <c r="D72">
        <v>4235</v>
      </c>
      <c r="E72">
        <v>1</v>
      </c>
      <c r="F72">
        <v>1</v>
      </c>
      <c r="G72">
        <v>1983</v>
      </c>
      <c r="H72">
        <v>1991046.0220000001</v>
      </c>
      <c r="I72">
        <v>6486.3441890000004</v>
      </c>
      <c r="J72" t="s">
        <v>32</v>
      </c>
      <c r="K72" t="s">
        <v>30</v>
      </c>
      <c r="L72">
        <v>0.99579978998949947</v>
      </c>
      <c r="M72">
        <f t="shared" si="1"/>
        <v>470.14</v>
      </c>
    </row>
    <row r="73" spans="1:13" x14ac:dyDescent="0.3">
      <c r="A73">
        <v>7116</v>
      </c>
      <c r="B73" t="s">
        <v>22</v>
      </c>
      <c r="C73" t="s">
        <v>33</v>
      </c>
      <c r="D73">
        <v>2737</v>
      </c>
      <c r="E73">
        <v>4</v>
      </c>
      <c r="F73">
        <v>2</v>
      </c>
      <c r="G73">
        <v>1963</v>
      </c>
      <c r="H73">
        <v>1997035.9779999999</v>
      </c>
      <c r="I73">
        <v>6824.430719</v>
      </c>
      <c r="J73" t="s">
        <v>34</v>
      </c>
      <c r="K73" t="s">
        <v>30</v>
      </c>
      <c r="L73">
        <v>0.99839991999599975</v>
      </c>
      <c r="M73">
        <f t="shared" si="1"/>
        <v>729.64</v>
      </c>
    </row>
    <row r="74" spans="1:13" x14ac:dyDescent="0.3">
      <c r="A74">
        <v>7133</v>
      </c>
      <c r="B74" t="s">
        <v>16</v>
      </c>
      <c r="C74" t="s">
        <v>13</v>
      </c>
      <c r="D74">
        <v>3735</v>
      </c>
      <c r="E74">
        <v>2</v>
      </c>
      <c r="F74">
        <v>1</v>
      </c>
      <c r="G74">
        <v>1994</v>
      </c>
      <c r="H74">
        <v>1999224.7579999999</v>
      </c>
      <c r="I74">
        <v>3981.1702399999999</v>
      </c>
      <c r="J74" t="s">
        <v>25</v>
      </c>
      <c r="K74" t="s">
        <v>30</v>
      </c>
      <c r="L74">
        <v>0.99969998499924995</v>
      </c>
      <c r="M74">
        <f t="shared" si="1"/>
        <v>535.27</v>
      </c>
    </row>
    <row r="75" spans="1:13" x14ac:dyDescent="0.3">
      <c r="A75">
        <v>7134</v>
      </c>
      <c r="B75" t="s">
        <v>31</v>
      </c>
      <c r="C75" t="s">
        <v>17</v>
      </c>
      <c r="D75">
        <v>4701</v>
      </c>
      <c r="E75">
        <v>1</v>
      </c>
      <c r="F75">
        <v>1</v>
      </c>
      <c r="G75">
        <v>1993</v>
      </c>
      <c r="H75">
        <v>1982139.466</v>
      </c>
      <c r="I75">
        <v>1697.8629659999999</v>
      </c>
      <c r="J75" t="s">
        <v>35</v>
      </c>
      <c r="K75" t="s">
        <v>30</v>
      </c>
      <c r="L75">
        <v>0.99194959747987399</v>
      </c>
      <c r="M75">
        <f t="shared" si="1"/>
        <v>421.64</v>
      </c>
    </row>
    <row r="76" spans="1:13" x14ac:dyDescent="0.3">
      <c r="A76">
        <v>7237</v>
      </c>
      <c r="B76" t="s">
        <v>22</v>
      </c>
      <c r="C76" t="s">
        <v>17</v>
      </c>
      <c r="D76">
        <v>2692</v>
      </c>
      <c r="E76">
        <v>3</v>
      </c>
      <c r="F76">
        <v>2</v>
      </c>
      <c r="G76">
        <v>1975</v>
      </c>
      <c r="H76">
        <v>1978946.1610000001</v>
      </c>
      <c r="I76">
        <v>7726.2395740000002</v>
      </c>
      <c r="J76" t="s">
        <v>35</v>
      </c>
      <c r="K76" t="s">
        <v>30</v>
      </c>
      <c r="L76">
        <v>0.99054952747637381</v>
      </c>
      <c r="M76">
        <f t="shared" si="1"/>
        <v>735.12</v>
      </c>
    </row>
    <row r="77" spans="1:13" x14ac:dyDescent="0.3">
      <c r="A77">
        <v>7313</v>
      </c>
      <c r="B77" t="s">
        <v>22</v>
      </c>
      <c r="C77" t="s">
        <v>13</v>
      </c>
      <c r="D77">
        <v>3150</v>
      </c>
      <c r="E77">
        <v>3</v>
      </c>
      <c r="F77">
        <v>2</v>
      </c>
      <c r="G77">
        <v>2002</v>
      </c>
      <c r="H77">
        <v>1993982.105</v>
      </c>
      <c r="I77">
        <v>4195.3748679999999</v>
      </c>
      <c r="J77" t="s">
        <v>25</v>
      </c>
      <c r="K77" t="s">
        <v>30</v>
      </c>
      <c r="L77">
        <v>0.99724986249312464</v>
      </c>
      <c r="M77">
        <f t="shared" si="1"/>
        <v>633.01</v>
      </c>
    </row>
    <row r="78" spans="1:13" x14ac:dyDescent="0.3">
      <c r="A78" s="6">
        <v>7319</v>
      </c>
      <c r="B78" s="6" t="s">
        <v>12</v>
      </c>
      <c r="C78" s="6" t="s">
        <v>33</v>
      </c>
      <c r="D78" s="6">
        <v>726</v>
      </c>
      <c r="E78" s="6">
        <v>2</v>
      </c>
      <c r="F78" s="6">
        <v>2</v>
      </c>
      <c r="G78" s="6">
        <v>1986</v>
      </c>
      <c r="H78" s="6">
        <v>1978220.5549999999</v>
      </c>
      <c r="I78" s="6">
        <v>3666.3676959999998</v>
      </c>
      <c r="J78" s="6" t="s">
        <v>37</v>
      </c>
      <c r="K78" s="6" t="s">
        <v>15</v>
      </c>
      <c r="L78" s="6">
        <v>0.99009950497524879</v>
      </c>
      <c r="M78" s="6">
        <f t="shared" si="1"/>
        <v>2724.82</v>
      </c>
    </row>
    <row r="79" spans="1:13" x14ac:dyDescent="0.3">
      <c r="A79" s="6">
        <v>7374</v>
      </c>
      <c r="B79" s="6" t="s">
        <v>16</v>
      </c>
      <c r="C79" s="6" t="s">
        <v>27</v>
      </c>
      <c r="D79" s="6">
        <v>569</v>
      </c>
      <c r="E79" s="6">
        <v>2</v>
      </c>
      <c r="F79" s="6">
        <v>1</v>
      </c>
      <c r="G79" s="6">
        <v>1955</v>
      </c>
      <c r="H79" s="6">
        <v>1980531.2479999999</v>
      </c>
      <c r="I79" s="6">
        <v>3884.8647030000002</v>
      </c>
      <c r="J79" s="6" t="s">
        <v>25</v>
      </c>
      <c r="K79" s="6" t="s">
        <v>15</v>
      </c>
      <c r="L79" s="6">
        <v>0.9912495624781239</v>
      </c>
      <c r="M79" s="6">
        <f t="shared" si="1"/>
        <v>3480.72</v>
      </c>
    </row>
    <row r="80" spans="1:13" x14ac:dyDescent="0.3">
      <c r="A80" s="6">
        <v>7677</v>
      </c>
      <c r="B80" s="6" t="s">
        <v>31</v>
      </c>
      <c r="C80" s="6" t="s">
        <v>20</v>
      </c>
      <c r="D80" s="6">
        <v>1361</v>
      </c>
      <c r="E80" s="6">
        <v>4</v>
      </c>
      <c r="F80" s="6">
        <v>1</v>
      </c>
      <c r="G80" s="6">
        <v>1992</v>
      </c>
      <c r="H80" s="6">
        <v>1997362.3389999999</v>
      </c>
      <c r="I80" s="6">
        <v>3299.767417</v>
      </c>
      <c r="J80" s="6" t="s">
        <v>21</v>
      </c>
      <c r="K80" s="6" t="s">
        <v>30</v>
      </c>
      <c r="L80" s="6">
        <v>0.99849992499624984</v>
      </c>
      <c r="M80" s="6">
        <f t="shared" si="1"/>
        <v>1467.57</v>
      </c>
    </row>
    <row r="81" spans="1:13" x14ac:dyDescent="0.3">
      <c r="A81">
        <v>8106</v>
      </c>
      <c r="B81" t="s">
        <v>22</v>
      </c>
      <c r="C81" t="s">
        <v>23</v>
      </c>
      <c r="D81">
        <v>4444</v>
      </c>
      <c r="E81">
        <v>4</v>
      </c>
      <c r="F81">
        <v>1</v>
      </c>
      <c r="G81">
        <v>2000</v>
      </c>
      <c r="H81">
        <v>1980900.723</v>
      </c>
      <c r="I81">
        <v>3058.425992</v>
      </c>
      <c r="J81" t="s">
        <v>36</v>
      </c>
      <c r="K81" t="s">
        <v>15</v>
      </c>
      <c r="L81">
        <v>0.99139956997849887</v>
      </c>
      <c r="M81">
        <f t="shared" si="1"/>
        <v>445.75</v>
      </c>
    </row>
    <row r="82" spans="1:13" x14ac:dyDescent="0.3">
      <c r="A82">
        <v>8154</v>
      </c>
      <c r="B82" t="s">
        <v>16</v>
      </c>
      <c r="C82" t="s">
        <v>23</v>
      </c>
      <c r="D82">
        <v>2799</v>
      </c>
      <c r="E82">
        <v>4</v>
      </c>
      <c r="F82">
        <v>1</v>
      </c>
      <c r="G82">
        <v>1989</v>
      </c>
      <c r="H82">
        <v>1988087.9920000001</v>
      </c>
      <c r="I82">
        <v>4204.2168279999996</v>
      </c>
      <c r="J82" t="s">
        <v>36</v>
      </c>
      <c r="K82" t="s">
        <v>15</v>
      </c>
      <c r="L82">
        <v>0.99474973748687434</v>
      </c>
      <c r="M82">
        <f t="shared" si="1"/>
        <v>710.29</v>
      </c>
    </row>
    <row r="83" spans="1:13" x14ac:dyDescent="0.3">
      <c r="A83" s="6">
        <v>8198</v>
      </c>
      <c r="B83" s="6" t="s">
        <v>16</v>
      </c>
      <c r="C83" s="6" t="s">
        <v>27</v>
      </c>
      <c r="D83" s="6">
        <v>1232</v>
      </c>
      <c r="E83" s="6">
        <v>2</v>
      </c>
      <c r="F83" s="6">
        <v>2</v>
      </c>
      <c r="G83" s="6">
        <v>2017</v>
      </c>
      <c r="H83" s="6">
        <v>1996174.39</v>
      </c>
      <c r="I83" s="6">
        <v>6281.4597919999997</v>
      </c>
      <c r="J83" s="6" t="s">
        <v>25</v>
      </c>
      <c r="K83" s="6" t="s">
        <v>30</v>
      </c>
      <c r="L83" s="6">
        <v>0.99794989749487473</v>
      </c>
      <c r="M83" s="6">
        <f t="shared" si="1"/>
        <v>1620.27</v>
      </c>
    </row>
    <row r="84" spans="1:13" x14ac:dyDescent="0.3">
      <c r="A84">
        <v>8268</v>
      </c>
      <c r="B84" t="s">
        <v>22</v>
      </c>
      <c r="C84" t="s">
        <v>33</v>
      </c>
      <c r="D84">
        <v>2205</v>
      </c>
      <c r="E84">
        <v>2</v>
      </c>
      <c r="F84">
        <v>3</v>
      </c>
      <c r="G84">
        <v>1983</v>
      </c>
      <c r="H84">
        <v>1981763.9010000001</v>
      </c>
      <c r="I84">
        <v>5593.7412270000004</v>
      </c>
      <c r="J84" t="s">
        <v>34</v>
      </c>
      <c r="K84" t="s">
        <v>30</v>
      </c>
      <c r="L84">
        <v>0.99174958747937392</v>
      </c>
      <c r="M84">
        <f t="shared" si="1"/>
        <v>898.76</v>
      </c>
    </row>
    <row r="85" spans="1:13" x14ac:dyDescent="0.3">
      <c r="A85">
        <v>8284</v>
      </c>
      <c r="B85" t="s">
        <v>22</v>
      </c>
      <c r="C85" t="s">
        <v>13</v>
      </c>
      <c r="D85">
        <v>2995</v>
      </c>
      <c r="E85">
        <v>5</v>
      </c>
      <c r="F85">
        <v>3</v>
      </c>
      <c r="G85">
        <v>2011</v>
      </c>
      <c r="H85">
        <v>1979320.3459999999</v>
      </c>
      <c r="I85">
        <v>7164.9424740000004</v>
      </c>
      <c r="J85" t="s">
        <v>32</v>
      </c>
      <c r="K85" t="s">
        <v>30</v>
      </c>
      <c r="L85">
        <v>0.99069953497674879</v>
      </c>
      <c r="M85">
        <f t="shared" si="1"/>
        <v>660.87</v>
      </c>
    </row>
    <row r="86" spans="1:13" x14ac:dyDescent="0.3">
      <c r="A86">
        <v>8298</v>
      </c>
      <c r="B86" t="s">
        <v>16</v>
      </c>
      <c r="C86" t="s">
        <v>20</v>
      </c>
      <c r="D86">
        <v>3095</v>
      </c>
      <c r="E86">
        <v>3</v>
      </c>
      <c r="F86">
        <v>2</v>
      </c>
      <c r="G86">
        <v>1981</v>
      </c>
      <c r="H86">
        <v>1999954.351</v>
      </c>
      <c r="I86">
        <v>6164.7516569999998</v>
      </c>
      <c r="J86" t="s">
        <v>38</v>
      </c>
      <c r="K86" t="s">
        <v>30</v>
      </c>
      <c r="L86">
        <v>0.99994999749987501</v>
      </c>
      <c r="M86">
        <f t="shared" si="1"/>
        <v>646.19000000000005</v>
      </c>
    </row>
    <row r="87" spans="1:13" x14ac:dyDescent="0.3">
      <c r="A87" s="6">
        <v>8356</v>
      </c>
      <c r="B87" s="6" t="s">
        <v>22</v>
      </c>
      <c r="C87" s="6" t="s">
        <v>27</v>
      </c>
      <c r="D87" s="6">
        <v>1911</v>
      </c>
      <c r="E87" s="6">
        <v>4</v>
      </c>
      <c r="F87" s="6">
        <v>3</v>
      </c>
      <c r="G87" s="6">
        <v>1995</v>
      </c>
      <c r="H87" s="6">
        <v>1978397.443</v>
      </c>
      <c r="I87" s="6">
        <v>7689.0220740000004</v>
      </c>
      <c r="J87" s="6" t="s">
        <v>25</v>
      </c>
      <c r="K87" s="6" t="s">
        <v>15</v>
      </c>
      <c r="L87" s="6">
        <v>0.99024951247562376</v>
      </c>
      <c r="M87" s="6">
        <f t="shared" si="1"/>
        <v>1035.27</v>
      </c>
    </row>
    <row r="88" spans="1:13" x14ac:dyDescent="0.3">
      <c r="A88" s="6">
        <v>8419</v>
      </c>
      <c r="B88" s="6" t="s">
        <v>22</v>
      </c>
      <c r="C88" s="6" t="s">
        <v>13</v>
      </c>
      <c r="D88" s="6">
        <v>767</v>
      </c>
      <c r="E88" s="6">
        <v>3</v>
      </c>
      <c r="F88" s="6">
        <v>2</v>
      </c>
      <c r="G88" s="6">
        <v>1979</v>
      </c>
      <c r="H88" s="6">
        <v>1996837.1880000001</v>
      </c>
      <c r="I88" s="6">
        <v>4744.9039480000001</v>
      </c>
      <c r="J88" s="6" t="s">
        <v>32</v>
      </c>
      <c r="K88" s="6" t="s">
        <v>26</v>
      </c>
      <c r="L88" s="6">
        <v>0.99824991249562478</v>
      </c>
      <c r="M88" s="6">
        <f t="shared" si="1"/>
        <v>2603.44</v>
      </c>
    </row>
    <row r="89" spans="1:13" x14ac:dyDescent="0.3">
      <c r="A89">
        <v>8442</v>
      </c>
      <c r="B89" t="s">
        <v>12</v>
      </c>
      <c r="C89" t="s">
        <v>27</v>
      </c>
      <c r="D89">
        <v>2604</v>
      </c>
      <c r="E89">
        <v>4</v>
      </c>
      <c r="F89">
        <v>1</v>
      </c>
      <c r="G89">
        <v>1977</v>
      </c>
      <c r="H89">
        <v>1997388.844</v>
      </c>
      <c r="I89">
        <v>5226.2406920000003</v>
      </c>
      <c r="J89" t="s">
        <v>29</v>
      </c>
      <c r="K89" t="s">
        <v>15</v>
      </c>
      <c r="L89">
        <v>0.99859992999649982</v>
      </c>
      <c r="M89">
        <f t="shared" si="1"/>
        <v>767.05</v>
      </c>
    </row>
    <row r="90" spans="1:13" x14ac:dyDescent="0.3">
      <c r="A90">
        <v>8504</v>
      </c>
      <c r="B90" t="s">
        <v>12</v>
      </c>
      <c r="C90" t="s">
        <v>27</v>
      </c>
      <c r="D90">
        <v>3259</v>
      </c>
      <c r="E90">
        <v>2</v>
      </c>
      <c r="F90">
        <v>3</v>
      </c>
      <c r="G90">
        <v>1992</v>
      </c>
      <c r="H90">
        <v>1992761.6</v>
      </c>
      <c r="I90">
        <v>3237.6886439999998</v>
      </c>
      <c r="J90" t="s">
        <v>29</v>
      </c>
      <c r="K90" t="s">
        <v>30</v>
      </c>
      <c r="L90">
        <v>0.9968498424921246</v>
      </c>
      <c r="M90">
        <f t="shared" si="1"/>
        <v>611.46</v>
      </c>
    </row>
    <row r="91" spans="1:13" x14ac:dyDescent="0.3">
      <c r="A91" s="6">
        <v>8875</v>
      </c>
      <c r="B91" s="6" t="s">
        <v>22</v>
      </c>
      <c r="C91" s="6" t="s">
        <v>27</v>
      </c>
      <c r="D91" s="6">
        <v>565</v>
      </c>
      <c r="E91" s="6">
        <v>4</v>
      </c>
      <c r="F91" s="6">
        <v>2</v>
      </c>
      <c r="G91" s="6">
        <v>1990</v>
      </c>
      <c r="H91" s="6">
        <v>1993946.1240000001</v>
      </c>
      <c r="I91" s="6">
        <v>5927.5189659999996</v>
      </c>
      <c r="J91" s="6" t="s">
        <v>28</v>
      </c>
      <c r="K91" s="6" t="s">
        <v>15</v>
      </c>
      <c r="L91" s="6">
        <v>0.99719985999299965</v>
      </c>
      <c r="M91" s="6">
        <f t="shared" si="1"/>
        <v>3529.11</v>
      </c>
    </row>
    <row r="92" spans="1:13" x14ac:dyDescent="0.3">
      <c r="A92">
        <v>8904</v>
      </c>
      <c r="B92" t="s">
        <v>12</v>
      </c>
      <c r="C92" t="s">
        <v>17</v>
      </c>
      <c r="D92">
        <v>4389</v>
      </c>
      <c r="E92">
        <v>3</v>
      </c>
      <c r="F92">
        <v>1</v>
      </c>
      <c r="G92">
        <v>1995</v>
      </c>
      <c r="H92">
        <v>1979538.804</v>
      </c>
      <c r="I92">
        <v>6705.87871</v>
      </c>
      <c r="J92" t="s">
        <v>35</v>
      </c>
      <c r="K92" t="s">
        <v>30</v>
      </c>
      <c r="L92">
        <v>0.99089954497724886</v>
      </c>
      <c r="M92">
        <f t="shared" si="1"/>
        <v>451.02</v>
      </c>
    </row>
    <row r="93" spans="1:13" x14ac:dyDescent="0.3">
      <c r="A93" s="6">
        <v>8957</v>
      </c>
      <c r="B93" s="6" t="s">
        <v>22</v>
      </c>
      <c r="C93" s="6" t="s">
        <v>17</v>
      </c>
      <c r="D93" s="6">
        <v>1168</v>
      </c>
      <c r="E93" s="6">
        <v>3</v>
      </c>
      <c r="F93" s="6">
        <v>2</v>
      </c>
      <c r="G93" s="6">
        <v>1999</v>
      </c>
      <c r="H93" s="6">
        <v>1996218.906</v>
      </c>
      <c r="I93" s="6">
        <v>2412.7217030000002</v>
      </c>
      <c r="J93" s="6" t="s">
        <v>18</v>
      </c>
      <c r="K93" s="6" t="s">
        <v>26</v>
      </c>
      <c r="L93" s="6">
        <v>0.99799989999499972</v>
      </c>
      <c r="M93" s="6">
        <f t="shared" si="1"/>
        <v>1709.09</v>
      </c>
    </row>
    <row r="94" spans="1:13" x14ac:dyDescent="0.3">
      <c r="A94">
        <v>9077</v>
      </c>
      <c r="B94" t="s">
        <v>16</v>
      </c>
      <c r="C94" t="s">
        <v>17</v>
      </c>
      <c r="D94">
        <v>4637</v>
      </c>
      <c r="E94">
        <v>5</v>
      </c>
      <c r="F94">
        <v>2</v>
      </c>
      <c r="G94">
        <v>1962</v>
      </c>
      <c r="H94">
        <v>1985723.905</v>
      </c>
      <c r="I94">
        <v>542.95417239999995</v>
      </c>
      <c r="J94" t="s">
        <v>35</v>
      </c>
      <c r="K94" t="s">
        <v>15</v>
      </c>
      <c r="L94">
        <v>0.99344967248362415</v>
      </c>
      <c r="M94">
        <f t="shared" si="1"/>
        <v>428.23</v>
      </c>
    </row>
    <row r="95" spans="1:13" x14ac:dyDescent="0.3">
      <c r="A95">
        <v>9334</v>
      </c>
      <c r="B95" t="s">
        <v>22</v>
      </c>
      <c r="C95" t="s">
        <v>20</v>
      </c>
      <c r="D95">
        <v>4127</v>
      </c>
      <c r="E95">
        <v>1</v>
      </c>
      <c r="F95">
        <v>3</v>
      </c>
      <c r="G95">
        <v>1991</v>
      </c>
      <c r="H95">
        <v>1985604.1669999999</v>
      </c>
      <c r="I95">
        <v>7901.382861</v>
      </c>
      <c r="J95" t="s">
        <v>38</v>
      </c>
      <c r="K95" t="s">
        <v>15</v>
      </c>
      <c r="L95">
        <v>0.99339966998349916</v>
      </c>
      <c r="M95">
        <f t="shared" si="1"/>
        <v>481.13</v>
      </c>
    </row>
    <row r="96" spans="1:13" x14ac:dyDescent="0.3">
      <c r="A96">
        <v>9447</v>
      </c>
      <c r="B96" t="s">
        <v>12</v>
      </c>
      <c r="C96" t="s">
        <v>17</v>
      </c>
      <c r="D96">
        <v>3543</v>
      </c>
      <c r="E96">
        <v>3</v>
      </c>
      <c r="F96">
        <v>3</v>
      </c>
      <c r="G96">
        <v>1950</v>
      </c>
      <c r="H96">
        <v>1986455.841</v>
      </c>
      <c r="I96">
        <v>886.44100949999995</v>
      </c>
      <c r="J96" t="s">
        <v>35</v>
      </c>
      <c r="K96" t="s">
        <v>15</v>
      </c>
      <c r="L96">
        <v>0.99394969748487427</v>
      </c>
      <c r="M96">
        <f t="shared" si="1"/>
        <v>560.66999999999996</v>
      </c>
    </row>
    <row r="97" spans="1:13" x14ac:dyDescent="0.3">
      <c r="A97">
        <v>9455</v>
      </c>
      <c r="B97" t="s">
        <v>16</v>
      </c>
      <c r="C97" t="s">
        <v>20</v>
      </c>
      <c r="D97">
        <v>2031</v>
      </c>
      <c r="E97">
        <v>5</v>
      </c>
      <c r="F97">
        <v>1</v>
      </c>
      <c r="G97">
        <v>1961</v>
      </c>
      <c r="H97">
        <v>1982303.216</v>
      </c>
      <c r="I97">
        <v>6307.4305370000002</v>
      </c>
      <c r="J97" t="s">
        <v>41</v>
      </c>
      <c r="K97" t="s">
        <v>15</v>
      </c>
      <c r="L97">
        <v>0.99199959997999898</v>
      </c>
      <c r="M97">
        <f t="shared" si="1"/>
        <v>976.02</v>
      </c>
    </row>
    <row r="98" spans="1:13" x14ac:dyDescent="0.3">
      <c r="A98">
        <v>9473</v>
      </c>
      <c r="B98" t="s">
        <v>16</v>
      </c>
      <c r="C98" t="s">
        <v>27</v>
      </c>
      <c r="D98">
        <v>2867</v>
      </c>
      <c r="E98">
        <v>1</v>
      </c>
      <c r="F98">
        <v>3</v>
      </c>
      <c r="G98">
        <v>1994</v>
      </c>
      <c r="H98">
        <v>1993223.8959999999</v>
      </c>
      <c r="I98">
        <v>7038.9096909999998</v>
      </c>
      <c r="J98" t="s">
        <v>28</v>
      </c>
      <c r="K98" t="s">
        <v>30</v>
      </c>
      <c r="L98">
        <v>0.99704985249262468</v>
      </c>
      <c r="M98">
        <f t="shared" si="1"/>
        <v>695.23</v>
      </c>
    </row>
    <row r="99" spans="1:13" x14ac:dyDescent="0.3">
      <c r="A99">
        <v>9520</v>
      </c>
      <c r="B99" t="s">
        <v>22</v>
      </c>
      <c r="C99" t="s">
        <v>17</v>
      </c>
      <c r="D99">
        <v>3178</v>
      </c>
      <c r="E99">
        <v>3</v>
      </c>
      <c r="F99">
        <v>3</v>
      </c>
      <c r="G99">
        <v>1960</v>
      </c>
      <c r="H99">
        <v>1987255.52</v>
      </c>
      <c r="I99">
        <v>2155.0269539999999</v>
      </c>
      <c r="J99" t="s">
        <v>18</v>
      </c>
      <c r="K99" t="s">
        <v>15</v>
      </c>
      <c r="L99">
        <v>0.9943997199859993</v>
      </c>
      <c r="M99">
        <f t="shared" si="1"/>
        <v>625.32000000000005</v>
      </c>
    </row>
    <row r="100" spans="1:13" x14ac:dyDescent="0.3">
      <c r="A100" s="6">
        <v>9628</v>
      </c>
      <c r="B100" s="6" t="s">
        <v>16</v>
      </c>
      <c r="C100" s="6" t="s">
        <v>27</v>
      </c>
      <c r="D100" s="6">
        <v>1967</v>
      </c>
      <c r="E100" s="6">
        <v>5</v>
      </c>
      <c r="F100" s="6">
        <v>1</v>
      </c>
      <c r="G100" s="6">
        <v>2018</v>
      </c>
      <c r="H100" s="6">
        <v>1978682.0919999999</v>
      </c>
      <c r="I100" s="6">
        <v>1611.589872</v>
      </c>
      <c r="J100" s="6" t="s">
        <v>29</v>
      </c>
      <c r="K100" s="6" t="s">
        <v>15</v>
      </c>
      <c r="L100" s="6">
        <v>0.99034951747587374</v>
      </c>
      <c r="M100" s="6">
        <f t="shared" si="1"/>
        <v>1005.94</v>
      </c>
    </row>
    <row r="101" spans="1:13" x14ac:dyDescent="0.3">
      <c r="A101">
        <v>9901</v>
      </c>
      <c r="B101" t="s">
        <v>31</v>
      </c>
      <c r="C101" t="s">
        <v>23</v>
      </c>
      <c r="D101">
        <v>4319</v>
      </c>
      <c r="E101">
        <v>4</v>
      </c>
      <c r="F101">
        <v>3</v>
      </c>
      <c r="G101">
        <v>1978</v>
      </c>
      <c r="H101">
        <v>1991381.132</v>
      </c>
      <c r="I101">
        <v>7961.0245199999999</v>
      </c>
      <c r="J101" t="s">
        <v>25</v>
      </c>
      <c r="K101" t="s">
        <v>15</v>
      </c>
      <c r="L101">
        <v>0.99609980499024953</v>
      </c>
      <c r="M101">
        <f t="shared" si="1"/>
        <v>461.07</v>
      </c>
    </row>
    <row r="102" spans="1:13" x14ac:dyDescent="0.3">
      <c r="A102">
        <v>10123</v>
      </c>
      <c r="B102" t="s">
        <v>16</v>
      </c>
      <c r="C102" t="s">
        <v>17</v>
      </c>
      <c r="D102">
        <v>4341</v>
      </c>
      <c r="E102">
        <v>5</v>
      </c>
      <c r="F102">
        <v>1</v>
      </c>
      <c r="G102">
        <v>1963</v>
      </c>
      <c r="H102">
        <v>1985745.8370000001</v>
      </c>
      <c r="I102">
        <v>6093.1908549999998</v>
      </c>
      <c r="J102" t="s">
        <v>35</v>
      </c>
      <c r="K102" t="s">
        <v>30</v>
      </c>
      <c r="L102">
        <v>0.99349967498374914</v>
      </c>
      <c r="M102">
        <f t="shared" si="1"/>
        <v>457.44</v>
      </c>
    </row>
    <row r="103" spans="1:13" x14ac:dyDescent="0.3">
      <c r="A103">
        <v>10278</v>
      </c>
      <c r="B103" t="s">
        <v>22</v>
      </c>
      <c r="C103" t="s">
        <v>17</v>
      </c>
      <c r="D103">
        <v>4126</v>
      </c>
      <c r="E103">
        <v>3</v>
      </c>
      <c r="F103">
        <v>3</v>
      </c>
      <c r="G103">
        <v>1980</v>
      </c>
      <c r="H103">
        <v>1987288.5220000001</v>
      </c>
      <c r="I103">
        <v>5292.3885309999996</v>
      </c>
      <c r="J103" t="s">
        <v>18</v>
      </c>
      <c r="K103" t="s">
        <v>15</v>
      </c>
      <c r="L103">
        <v>0.99449972498624928</v>
      </c>
      <c r="M103">
        <f t="shared" si="1"/>
        <v>481.65</v>
      </c>
    </row>
    <row r="104" spans="1:13" x14ac:dyDescent="0.3">
      <c r="A104">
        <v>10300</v>
      </c>
      <c r="B104" t="s">
        <v>31</v>
      </c>
      <c r="C104" t="s">
        <v>17</v>
      </c>
      <c r="D104">
        <v>4788</v>
      </c>
      <c r="E104">
        <v>4</v>
      </c>
      <c r="F104">
        <v>2</v>
      </c>
      <c r="G104">
        <v>1954</v>
      </c>
      <c r="H104">
        <v>1991959.068</v>
      </c>
      <c r="I104">
        <v>1421.4366809999999</v>
      </c>
      <c r="J104" t="s">
        <v>35</v>
      </c>
      <c r="K104" t="s">
        <v>26</v>
      </c>
      <c r="L104">
        <v>0.99639981999099958</v>
      </c>
      <c r="M104">
        <f t="shared" si="1"/>
        <v>416.03</v>
      </c>
    </row>
    <row r="105" spans="1:13" x14ac:dyDescent="0.3">
      <c r="A105">
        <v>10530</v>
      </c>
      <c r="B105" t="s">
        <v>16</v>
      </c>
      <c r="C105" t="s">
        <v>13</v>
      </c>
      <c r="D105">
        <v>4283</v>
      </c>
      <c r="E105">
        <v>1</v>
      </c>
      <c r="F105">
        <v>3</v>
      </c>
      <c r="G105">
        <v>1972</v>
      </c>
      <c r="H105">
        <v>1999295.398</v>
      </c>
      <c r="I105">
        <v>1219.188506</v>
      </c>
      <c r="J105" t="s">
        <v>25</v>
      </c>
      <c r="K105" t="s">
        <v>30</v>
      </c>
      <c r="L105">
        <v>0.99974998749937494</v>
      </c>
      <c r="M105">
        <f t="shared" si="1"/>
        <v>466.8</v>
      </c>
    </row>
    <row r="106" spans="1:13" x14ac:dyDescent="0.3">
      <c r="A106">
        <v>10566</v>
      </c>
      <c r="B106" t="s">
        <v>22</v>
      </c>
      <c r="C106" t="s">
        <v>17</v>
      </c>
      <c r="D106">
        <v>2955</v>
      </c>
      <c r="E106">
        <v>4</v>
      </c>
      <c r="F106">
        <v>1</v>
      </c>
      <c r="G106">
        <v>1965</v>
      </c>
      <c r="H106">
        <v>1992698.0160000001</v>
      </c>
      <c r="I106">
        <v>4838.9181120000003</v>
      </c>
      <c r="J106" t="s">
        <v>40</v>
      </c>
      <c r="K106" t="s">
        <v>30</v>
      </c>
      <c r="L106">
        <v>0.99679983999199961</v>
      </c>
      <c r="M106">
        <f t="shared" si="1"/>
        <v>674.35</v>
      </c>
    </row>
    <row r="107" spans="1:13" x14ac:dyDescent="0.3">
      <c r="A107">
        <v>10622</v>
      </c>
      <c r="B107" t="s">
        <v>22</v>
      </c>
      <c r="C107" t="s">
        <v>27</v>
      </c>
      <c r="D107">
        <v>2633</v>
      </c>
      <c r="E107">
        <v>1</v>
      </c>
      <c r="F107">
        <v>1</v>
      </c>
      <c r="G107">
        <v>1992</v>
      </c>
      <c r="H107">
        <v>1984546.6059999999</v>
      </c>
      <c r="I107">
        <v>1357.839929</v>
      </c>
      <c r="J107" t="s">
        <v>29</v>
      </c>
      <c r="K107" t="s">
        <v>15</v>
      </c>
      <c r="L107">
        <v>0.99274963748187406</v>
      </c>
      <c r="M107">
        <f t="shared" si="1"/>
        <v>753.72</v>
      </c>
    </row>
    <row r="108" spans="1:13" x14ac:dyDescent="0.3">
      <c r="A108">
        <v>10673</v>
      </c>
      <c r="B108" t="s">
        <v>22</v>
      </c>
      <c r="C108" t="s">
        <v>13</v>
      </c>
      <c r="D108">
        <v>4067</v>
      </c>
      <c r="E108">
        <v>2</v>
      </c>
      <c r="F108">
        <v>1</v>
      </c>
      <c r="G108">
        <v>1995</v>
      </c>
      <c r="H108">
        <v>1978369.808</v>
      </c>
      <c r="I108">
        <v>2423.083005</v>
      </c>
      <c r="J108" t="s">
        <v>32</v>
      </c>
      <c r="K108" t="s">
        <v>30</v>
      </c>
      <c r="L108">
        <v>0.99014950747537378</v>
      </c>
      <c r="M108">
        <f t="shared" si="1"/>
        <v>486.44</v>
      </c>
    </row>
    <row r="109" spans="1:13" x14ac:dyDescent="0.3">
      <c r="A109" s="6">
        <v>10700</v>
      </c>
      <c r="B109" s="6" t="s">
        <v>22</v>
      </c>
      <c r="C109" s="6" t="s">
        <v>13</v>
      </c>
      <c r="D109" s="6">
        <v>1758</v>
      </c>
      <c r="E109" s="6">
        <v>5</v>
      </c>
      <c r="F109" s="6">
        <v>2</v>
      </c>
      <c r="G109" s="6">
        <v>1956</v>
      </c>
      <c r="H109" s="6">
        <v>1982449.2790000001</v>
      </c>
      <c r="I109" s="6">
        <v>3814.4982530000002</v>
      </c>
      <c r="J109" s="6" t="s">
        <v>14</v>
      </c>
      <c r="K109" s="6" t="s">
        <v>15</v>
      </c>
      <c r="L109" s="6">
        <v>0.99204960248012397</v>
      </c>
      <c r="M109" s="6">
        <f t="shared" si="1"/>
        <v>1127.67</v>
      </c>
    </row>
    <row r="110" spans="1:13" x14ac:dyDescent="0.3">
      <c r="A110">
        <v>11040</v>
      </c>
      <c r="B110" t="s">
        <v>12</v>
      </c>
      <c r="C110" t="s">
        <v>17</v>
      </c>
      <c r="D110">
        <v>4672</v>
      </c>
      <c r="E110">
        <v>5</v>
      </c>
      <c r="F110">
        <v>2</v>
      </c>
      <c r="G110">
        <v>1976</v>
      </c>
      <c r="H110">
        <v>1992044.976</v>
      </c>
      <c r="I110">
        <v>4000.6947049999999</v>
      </c>
      <c r="J110" t="s">
        <v>35</v>
      </c>
      <c r="K110" t="s">
        <v>26</v>
      </c>
      <c r="L110">
        <v>0.99644982249112457</v>
      </c>
      <c r="M110">
        <f t="shared" si="1"/>
        <v>426.38</v>
      </c>
    </row>
    <row r="111" spans="1:13" x14ac:dyDescent="0.3">
      <c r="A111">
        <v>11041</v>
      </c>
      <c r="B111" t="s">
        <v>12</v>
      </c>
      <c r="C111" t="s">
        <v>17</v>
      </c>
      <c r="D111">
        <v>4333</v>
      </c>
      <c r="E111">
        <v>1</v>
      </c>
      <c r="F111">
        <v>2</v>
      </c>
      <c r="G111">
        <v>1982</v>
      </c>
      <c r="H111">
        <v>1999739.486</v>
      </c>
      <c r="I111">
        <v>2248.4361450000001</v>
      </c>
      <c r="J111" t="s">
        <v>35</v>
      </c>
      <c r="K111" t="s">
        <v>30</v>
      </c>
      <c r="L111">
        <v>0.99989999499975002</v>
      </c>
      <c r="M111">
        <f t="shared" si="1"/>
        <v>461.51</v>
      </c>
    </row>
    <row r="112" spans="1:13" x14ac:dyDescent="0.3">
      <c r="A112" s="6">
        <v>11096</v>
      </c>
      <c r="B112" s="6" t="s">
        <v>31</v>
      </c>
      <c r="C112" s="6" t="s">
        <v>33</v>
      </c>
      <c r="D112" s="6">
        <v>1917</v>
      </c>
      <c r="E112" s="6">
        <v>3</v>
      </c>
      <c r="F112" s="6">
        <v>1</v>
      </c>
      <c r="G112" s="6">
        <v>2007</v>
      </c>
      <c r="H112" s="6">
        <v>1980645.054</v>
      </c>
      <c r="I112" s="6">
        <v>3849.9080279999998</v>
      </c>
      <c r="J112" s="6" t="s">
        <v>39</v>
      </c>
      <c r="K112" s="6" t="s">
        <v>30</v>
      </c>
      <c r="L112" s="6">
        <v>0.99129956497824889</v>
      </c>
      <c r="M112" s="6">
        <f t="shared" si="1"/>
        <v>1033.2</v>
      </c>
    </row>
    <row r="113" spans="1:13" x14ac:dyDescent="0.3">
      <c r="A113">
        <v>11103</v>
      </c>
      <c r="B113" t="s">
        <v>31</v>
      </c>
      <c r="C113" t="s">
        <v>23</v>
      </c>
      <c r="D113">
        <v>4358</v>
      </c>
      <c r="E113">
        <v>1</v>
      </c>
      <c r="F113">
        <v>3</v>
      </c>
      <c r="G113">
        <v>1963</v>
      </c>
      <c r="H113">
        <v>1999032.334</v>
      </c>
      <c r="I113">
        <v>2028.535425</v>
      </c>
      <c r="J113" t="s">
        <v>25</v>
      </c>
      <c r="K113" t="s">
        <v>15</v>
      </c>
      <c r="L113">
        <v>0.99944997249862488</v>
      </c>
      <c r="M113">
        <f t="shared" si="1"/>
        <v>458.7</v>
      </c>
    </row>
    <row r="114" spans="1:13" x14ac:dyDescent="0.3">
      <c r="A114">
        <v>11131</v>
      </c>
      <c r="B114" t="s">
        <v>12</v>
      </c>
      <c r="C114" t="s">
        <v>20</v>
      </c>
      <c r="D114">
        <v>4580</v>
      </c>
      <c r="E114">
        <v>4</v>
      </c>
      <c r="F114">
        <v>2</v>
      </c>
      <c r="G114">
        <v>1995</v>
      </c>
      <c r="H114">
        <v>1991251.986</v>
      </c>
      <c r="I114">
        <v>2140.7727519999999</v>
      </c>
      <c r="J114" t="s">
        <v>21</v>
      </c>
      <c r="K114" t="s">
        <v>15</v>
      </c>
      <c r="L114">
        <v>0.99594979748987444</v>
      </c>
      <c r="M114">
        <f t="shared" si="1"/>
        <v>434.77</v>
      </c>
    </row>
    <row r="115" spans="1:13" x14ac:dyDescent="0.3">
      <c r="A115">
        <v>11205</v>
      </c>
      <c r="B115" t="s">
        <v>31</v>
      </c>
      <c r="C115" t="s">
        <v>33</v>
      </c>
      <c r="D115">
        <v>4812</v>
      </c>
      <c r="E115">
        <v>1</v>
      </c>
      <c r="F115">
        <v>3</v>
      </c>
      <c r="G115">
        <v>2021</v>
      </c>
      <c r="H115">
        <v>1995642.297</v>
      </c>
      <c r="I115">
        <v>7263.4996940000001</v>
      </c>
      <c r="J115" t="s">
        <v>42</v>
      </c>
      <c r="K115" t="s">
        <v>30</v>
      </c>
      <c r="L115">
        <v>0.99774988749437477</v>
      </c>
      <c r="M115">
        <f t="shared" si="1"/>
        <v>414.72</v>
      </c>
    </row>
    <row r="116" spans="1:13" x14ac:dyDescent="0.3">
      <c r="A116" s="6">
        <v>11315</v>
      </c>
      <c r="B116" s="6" t="s">
        <v>12</v>
      </c>
      <c r="C116" s="6" t="s">
        <v>17</v>
      </c>
      <c r="D116" s="6">
        <v>1141</v>
      </c>
      <c r="E116" s="6">
        <v>2</v>
      </c>
      <c r="F116" s="6">
        <v>1</v>
      </c>
      <c r="G116" s="6">
        <v>1950</v>
      </c>
      <c r="H116" s="6">
        <v>1985128.3729999999</v>
      </c>
      <c r="I116" s="6">
        <v>1404.3167390000001</v>
      </c>
      <c r="J116" s="6" t="s">
        <v>18</v>
      </c>
      <c r="K116" s="6" t="s">
        <v>15</v>
      </c>
      <c r="L116" s="6">
        <v>0.99314965748287409</v>
      </c>
      <c r="M116" s="6">
        <f t="shared" si="1"/>
        <v>1739.81</v>
      </c>
    </row>
    <row r="117" spans="1:13" x14ac:dyDescent="0.3">
      <c r="A117">
        <v>11533</v>
      </c>
      <c r="B117" t="s">
        <v>12</v>
      </c>
      <c r="C117" t="s">
        <v>17</v>
      </c>
      <c r="D117">
        <v>2743</v>
      </c>
      <c r="E117">
        <v>5</v>
      </c>
      <c r="F117">
        <v>1</v>
      </c>
      <c r="G117">
        <v>1964</v>
      </c>
      <c r="H117">
        <v>1985099.9879999999</v>
      </c>
      <c r="I117">
        <v>4155.7392040000004</v>
      </c>
      <c r="J117" t="s">
        <v>35</v>
      </c>
      <c r="K117" t="s">
        <v>15</v>
      </c>
      <c r="L117">
        <v>0.99304965248262411</v>
      </c>
      <c r="M117">
        <f t="shared" si="1"/>
        <v>723.7</v>
      </c>
    </row>
    <row r="118" spans="1:13" x14ac:dyDescent="0.3">
      <c r="A118" s="6">
        <v>11540</v>
      </c>
      <c r="B118" s="6" t="s">
        <v>12</v>
      </c>
      <c r="C118" s="6" t="s">
        <v>13</v>
      </c>
      <c r="D118" s="6">
        <v>1010</v>
      </c>
      <c r="E118" s="6">
        <v>4</v>
      </c>
      <c r="F118" s="6">
        <v>2</v>
      </c>
      <c r="G118" s="6">
        <v>2000</v>
      </c>
      <c r="H118" s="6">
        <v>1980408.149</v>
      </c>
      <c r="I118" s="6">
        <v>4836.8469100000002</v>
      </c>
      <c r="J118" s="6" t="s">
        <v>25</v>
      </c>
      <c r="K118" s="6" t="s">
        <v>30</v>
      </c>
      <c r="L118" s="6">
        <v>0.99119955997799891</v>
      </c>
      <c r="M118" s="6">
        <f t="shared" si="1"/>
        <v>1960.8</v>
      </c>
    </row>
    <row r="119" spans="1:13" x14ac:dyDescent="0.3">
      <c r="A119">
        <v>11651</v>
      </c>
      <c r="B119" t="s">
        <v>12</v>
      </c>
      <c r="C119" t="s">
        <v>33</v>
      </c>
      <c r="D119">
        <v>4675</v>
      </c>
      <c r="E119">
        <v>5</v>
      </c>
      <c r="F119">
        <v>1</v>
      </c>
      <c r="G119">
        <v>1964</v>
      </c>
      <c r="H119">
        <v>1979506.8130000001</v>
      </c>
      <c r="I119">
        <v>6502.924575</v>
      </c>
      <c r="J119" t="s">
        <v>42</v>
      </c>
      <c r="K119" t="s">
        <v>30</v>
      </c>
      <c r="L119">
        <v>0.99084954247712387</v>
      </c>
      <c r="M119">
        <f t="shared" si="1"/>
        <v>423.42</v>
      </c>
    </row>
    <row r="120" spans="1:13" x14ac:dyDescent="0.3">
      <c r="A120">
        <v>11662</v>
      </c>
      <c r="B120" t="s">
        <v>22</v>
      </c>
      <c r="C120" t="s">
        <v>13</v>
      </c>
      <c r="D120">
        <v>4378</v>
      </c>
      <c r="E120">
        <v>4</v>
      </c>
      <c r="F120">
        <v>1</v>
      </c>
      <c r="G120">
        <v>1974</v>
      </c>
      <c r="H120">
        <v>1992460.497</v>
      </c>
      <c r="I120">
        <v>7959.0395060000001</v>
      </c>
      <c r="J120" t="s">
        <v>14</v>
      </c>
      <c r="K120" t="s">
        <v>15</v>
      </c>
      <c r="L120">
        <v>0.99664983249162453</v>
      </c>
      <c r="M120">
        <f t="shared" si="1"/>
        <v>455.11</v>
      </c>
    </row>
    <row r="121" spans="1:13" x14ac:dyDescent="0.3">
      <c r="A121">
        <v>11672</v>
      </c>
      <c r="B121" t="s">
        <v>12</v>
      </c>
      <c r="C121" t="s">
        <v>20</v>
      </c>
      <c r="D121">
        <v>2645</v>
      </c>
      <c r="E121">
        <v>3</v>
      </c>
      <c r="F121">
        <v>1</v>
      </c>
      <c r="G121">
        <v>1967</v>
      </c>
      <c r="H121">
        <v>1984923.318</v>
      </c>
      <c r="I121">
        <v>1511.141132</v>
      </c>
      <c r="J121" t="s">
        <v>21</v>
      </c>
      <c r="K121" t="s">
        <v>15</v>
      </c>
      <c r="L121">
        <v>0.99294964748237413</v>
      </c>
      <c r="M121">
        <f t="shared" si="1"/>
        <v>750.44</v>
      </c>
    </row>
    <row r="122" spans="1:13" x14ac:dyDescent="0.3">
      <c r="A122" s="6">
        <v>11682</v>
      </c>
      <c r="B122" s="6" t="s">
        <v>31</v>
      </c>
      <c r="C122" s="6" t="s">
        <v>17</v>
      </c>
      <c r="D122" s="6">
        <v>1104</v>
      </c>
      <c r="E122" s="6">
        <v>5</v>
      </c>
      <c r="F122" s="6">
        <v>2</v>
      </c>
      <c r="G122" s="6">
        <v>2017</v>
      </c>
      <c r="H122" s="6">
        <v>1981171.007</v>
      </c>
      <c r="I122" s="6">
        <v>2701.3267980000001</v>
      </c>
      <c r="J122" s="6" t="s">
        <v>18</v>
      </c>
      <c r="K122" s="6" t="s">
        <v>30</v>
      </c>
      <c r="L122" s="6">
        <v>0.99149957497874897</v>
      </c>
      <c r="M122" s="6">
        <f t="shared" si="1"/>
        <v>1794.54</v>
      </c>
    </row>
    <row r="123" spans="1:13" x14ac:dyDescent="0.3">
      <c r="A123" s="6">
        <v>11972</v>
      </c>
      <c r="B123" s="6" t="s">
        <v>16</v>
      </c>
      <c r="C123" s="6" t="s">
        <v>33</v>
      </c>
      <c r="D123" s="6">
        <v>1023</v>
      </c>
      <c r="E123" s="6">
        <v>4</v>
      </c>
      <c r="F123" s="6">
        <v>2</v>
      </c>
      <c r="G123" s="6">
        <v>1974</v>
      </c>
      <c r="H123" s="6">
        <v>1997902.5330000001</v>
      </c>
      <c r="I123" s="6">
        <v>3380.7970030000001</v>
      </c>
      <c r="J123" s="6" t="s">
        <v>39</v>
      </c>
      <c r="K123" s="6" t="s">
        <v>30</v>
      </c>
      <c r="L123" s="6">
        <v>0.99889994499724988</v>
      </c>
      <c r="M123" s="6">
        <f t="shared" si="1"/>
        <v>1952.98</v>
      </c>
    </row>
    <row r="124" spans="1:13" x14ac:dyDescent="0.3">
      <c r="A124">
        <v>12079</v>
      </c>
      <c r="B124" t="s">
        <v>22</v>
      </c>
      <c r="C124" t="s">
        <v>27</v>
      </c>
      <c r="D124">
        <v>3963</v>
      </c>
      <c r="E124">
        <v>5</v>
      </c>
      <c r="F124">
        <v>3</v>
      </c>
      <c r="G124">
        <v>1982</v>
      </c>
      <c r="H124">
        <v>1979782.7660000001</v>
      </c>
      <c r="I124">
        <v>1456.60285</v>
      </c>
      <c r="J124" t="s">
        <v>25</v>
      </c>
      <c r="K124" t="s">
        <v>15</v>
      </c>
      <c r="L124">
        <v>0.99109955497774893</v>
      </c>
      <c r="M124">
        <f t="shared" si="1"/>
        <v>499.57</v>
      </c>
    </row>
    <row r="125" spans="1:13" x14ac:dyDescent="0.3">
      <c r="A125" s="6">
        <v>12236</v>
      </c>
      <c r="B125" s="6" t="s">
        <v>16</v>
      </c>
      <c r="C125" s="6" t="s">
        <v>27</v>
      </c>
      <c r="D125" s="6">
        <v>987</v>
      </c>
      <c r="E125" s="6">
        <v>1</v>
      </c>
      <c r="F125" s="6">
        <v>2</v>
      </c>
      <c r="G125" s="6">
        <v>1981</v>
      </c>
      <c r="H125" s="6">
        <v>1984657.598</v>
      </c>
      <c r="I125" s="6">
        <v>862.93911109999999</v>
      </c>
      <c r="J125" s="6" t="s">
        <v>25</v>
      </c>
      <c r="K125" s="6" t="s">
        <v>15</v>
      </c>
      <c r="L125" s="6">
        <v>0.99279963998199905</v>
      </c>
      <c r="M125" s="6">
        <f t="shared" si="1"/>
        <v>2010.8</v>
      </c>
    </row>
    <row r="126" spans="1:13" x14ac:dyDescent="0.3">
      <c r="A126">
        <v>12262</v>
      </c>
      <c r="B126" t="s">
        <v>12</v>
      </c>
      <c r="C126" t="s">
        <v>33</v>
      </c>
      <c r="D126">
        <v>3448</v>
      </c>
      <c r="E126">
        <v>5</v>
      </c>
      <c r="F126">
        <v>3</v>
      </c>
      <c r="G126">
        <v>1987</v>
      </c>
      <c r="H126">
        <v>1982823.568</v>
      </c>
      <c r="I126">
        <v>3425.1568510000002</v>
      </c>
      <c r="J126" t="s">
        <v>42</v>
      </c>
      <c r="K126" t="s">
        <v>30</v>
      </c>
      <c r="L126">
        <v>0.99219960998049905</v>
      </c>
      <c r="M126">
        <f t="shared" si="1"/>
        <v>575.05999999999995</v>
      </c>
    </row>
    <row r="127" spans="1:13" x14ac:dyDescent="0.3">
      <c r="A127" s="6">
        <v>12447</v>
      </c>
      <c r="B127" s="6" t="s">
        <v>31</v>
      </c>
      <c r="C127" s="6" t="s">
        <v>13</v>
      </c>
      <c r="D127" s="6">
        <v>1089</v>
      </c>
      <c r="E127" s="6">
        <v>5</v>
      </c>
      <c r="F127" s="6">
        <v>3</v>
      </c>
      <c r="G127" s="6">
        <v>1977</v>
      </c>
      <c r="H127" s="6">
        <v>1981501.2949999999</v>
      </c>
      <c r="I127" s="6">
        <v>7724.276339</v>
      </c>
      <c r="J127" s="6" t="s">
        <v>32</v>
      </c>
      <c r="K127" s="6" t="s">
        <v>30</v>
      </c>
      <c r="L127" s="6">
        <v>0.99164958247912394</v>
      </c>
      <c r="M127" s="6">
        <f t="shared" si="1"/>
        <v>1819.56</v>
      </c>
    </row>
    <row r="128" spans="1:13" x14ac:dyDescent="0.3">
      <c r="A128">
        <v>12523</v>
      </c>
      <c r="B128" t="s">
        <v>31</v>
      </c>
      <c r="C128" t="s">
        <v>23</v>
      </c>
      <c r="D128">
        <v>4702</v>
      </c>
      <c r="E128">
        <v>2</v>
      </c>
      <c r="F128">
        <v>3</v>
      </c>
      <c r="G128">
        <v>1985</v>
      </c>
      <c r="H128">
        <v>1995126.246</v>
      </c>
      <c r="I128">
        <v>5615.2756140000001</v>
      </c>
      <c r="J128" t="s">
        <v>36</v>
      </c>
      <c r="K128" t="s">
        <v>30</v>
      </c>
      <c r="L128">
        <v>0.99739986999349972</v>
      </c>
      <c r="M128">
        <f t="shared" si="1"/>
        <v>424.31</v>
      </c>
    </row>
    <row r="129" spans="1:13" x14ac:dyDescent="0.3">
      <c r="A129">
        <v>12648</v>
      </c>
      <c r="B129" t="s">
        <v>22</v>
      </c>
      <c r="C129" t="s">
        <v>20</v>
      </c>
      <c r="D129">
        <v>3546</v>
      </c>
      <c r="E129">
        <v>2</v>
      </c>
      <c r="F129">
        <v>3</v>
      </c>
      <c r="G129">
        <v>2010</v>
      </c>
      <c r="H129">
        <v>1986307.219</v>
      </c>
      <c r="I129">
        <v>3427.443346</v>
      </c>
      <c r="J129" t="s">
        <v>41</v>
      </c>
      <c r="K129" t="s">
        <v>15</v>
      </c>
      <c r="L129">
        <v>0.99389969498474928</v>
      </c>
      <c r="M129">
        <f t="shared" si="1"/>
        <v>560.15</v>
      </c>
    </row>
    <row r="130" spans="1:13" x14ac:dyDescent="0.3">
      <c r="A130">
        <v>12649</v>
      </c>
      <c r="B130" t="s">
        <v>31</v>
      </c>
      <c r="C130" t="s">
        <v>13</v>
      </c>
      <c r="D130">
        <v>4094</v>
      </c>
      <c r="E130">
        <v>3</v>
      </c>
      <c r="F130">
        <v>3</v>
      </c>
      <c r="G130">
        <v>1999</v>
      </c>
      <c r="H130">
        <v>1995185.804</v>
      </c>
      <c r="I130">
        <v>1520.182329</v>
      </c>
      <c r="J130" t="s">
        <v>14</v>
      </c>
      <c r="K130" t="s">
        <v>30</v>
      </c>
      <c r="L130">
        <v>0.99744987249362471</v>
      </c>
      <c r="M130">
        <f t="shared" si="1"/>
        <v>487.34</v>
      </c>
    </row>
    <row r="131" spans="1:13" x14ac:dyDescent="0.3">
      <c r="A131">
        <v>12686</v>
      </c>
      <c r="B131" t="s">
        <v>31</v>
      </c>
      <c r="C131" t="s">
        <v>13</v>
      </c>
      <c r="D131">
        <v>3616</v>
      </c>
      <c r="E131">
        <v>1</v>
      </c>
      <c r="F131">
        <v>2</v>
      </c>
      <c r="G131">
        <v>2006</v>
      </c>
      <c r="H131">
        <v>1988938.443</v>
      </c>
      <c r="I131">
        <v>7534.1384529999996</v>
      </c>
      <c r="J131" t="s">
        <v>32</v>
      </c>
      <c r="K131" t="s">
        <v>15</v>
      </c>
      <c r="L131">
        <v>0.99519975998799937</v>
      </c>
      <c r="M131">
        <f t="shared" ref="M131:M194" si="2">ROUND((H131/D131), 2)</f>
        <v>550.04</v>
      </c>
    </row>
    <row r="132" spans="1:13" x14ac:dyDescent="0.3">
      <c r="A132">
        <v>12914</v>
      </c>
      <c r="B132" t="s">
        <v>12</v>
      </c>
      <c r="C132" t="s">
        <v>20</v>
      </c>
      <c r="D132">
        <v>3851</v>
      </c>
      <c r="E132">
        <v>4</v>
      </c>
      <c r="F132">
        <v>3</v>
      </c>
      <c r="G132">
        <v>1985</v>
      </c>
      <c r="H132">
        <v>1988729.0560000001</v>
      </c>
      <c r="I132">
        <v>3565.8321070000002</v>
      </c>
      <c r="J132" t="s">
        <v>41</v>
      </c>
      <c r="K132" t="s">
        <v>30</v>
      </c>
      <c r="L132">
        <v>0.99504975248762439</v>
      </c>
      <c r="M132">
        <f t="shared" si="2"/>
        <v>516.41999999999996</v>
      </c>
    </row>
    <row r="133" spans="1:13" x14ac:dyDescent="0.3">
      <c r="A133" s="6">
        <v>13282</v>
      </c>
      <c r="B133" s="6" t="s">
        <v>22</v>
      </c>
      <c r="C133" s="6" t="s">
        <v>33</v>
      </c>
      <c r="D133" s="6">
        <v>566</v>
      </c>
      <c r="E133" s="6">
        <v>2</v>
      </c>
      <c r="F133" s="6">
        <v>1</v>
      </c>
      <c r="G133" s="6">
        <v>2004</v>
      </c>
      <c r="H133" s="6">
        <v>1998089.297</v>
      </c>
      <c r="I133" s="6">
        <v>4088.9782700000001</v>
      </c>
      <c r="J133" s="6" t="s">
        <v>42</v>
      </c>
      <c r="K133" s="6" t="s">
        <v>30</v>
      </c>
      <c r="L133" s="6">
        <v>0.99904995249762485</v>
      </c>
      <c r="M133" s="6">
        <f t="shared" si="2"/>
        <v>3530.19</v>
      </c>
    </row>
    <row r="134" spans="1:13" x14ac:dyDescent="0.3">
      <c r="A134">
        <v>13395</v>
      </c>
      <c r="B134" t="s">
        <v>16</v>
      </c>
      <c r="C134" t="s">
        <v>17</v>
      </c>
      <c r="D134">
        <v>2202</v>
      </c>
      <c r="E134">
        <v>1</v>
      </c>
      <c r="F134">
        <v>2</v>
      </c>
      <c r="G134">
        <v>1972</v>
      </c>
      <c r="H134">
        <v>1986060.7709999999</v>
      </c>
      <c r="I134">
        <v>1843.5964650000001</v>
      </c>
      <c r="J134" t="s">
        <v>40</v>
      </c>
      <c r="K134" t="s">
        <v>15</v>
      </c>
      <c r="L134">
        <v>0.9937496874843742</v>
      </c>
      <c r="M134">
        <f t="shared" si="2"/>
        <v>901.93</v>
      </c>
    </row>
    <row r="135" spans="1:13" x14ac:dyDescent="0.3">
      <c r="A135">
        <v>13423</v>
      </c>
      <c r="B135" t="s">
        <v>12</v>
      </c>
      <c r="C135" t="s">
        <v>13</v>
      </c>
      <c r="D135">
        <v>2461</v>
      </c>
      <c r="E135">
        <v>4</v>
      </c>
      <c r="F135">
        <v>1</v>
      </c>
      <c r="G135">
        <v>1995</v>
      </c>
      <c r="H135">
        <v>1988536.909</v>
      </c>
      <c r="I135">
        <v>5667.407991</v>
      </c>
      <c r="J135" t="s">
        <v>14</v>
      </c>
      <c r="K135" t="s">
        <v>15</v>
      </c>
      <c r="L135">
        <v>0.99494974748737441</v>
      </c>
      <c r="M135">
        <f t="shared" si="2"/>
        <v>808.02</v>
      </c>
    </row>
    <row r="136" spans="1:13" x14ac:dyDescent="0.3">
      <c r="A136">
        <v>13598</v>
      </c>
      <c r="B136" t="s">
        <v>12</v>
      </c>
      <c r="C136" t="s">
        <v>13</v>
      </c>
      <c r="D136">
        <v>3042</v>
      </c>
      <c r="E136">
        <v>5</v>
      </c>
      <c r="F136">
        <v>2</v>
      </c>
      <c r="G136">
        <v>1981</v>
      </c>
      <c r="H136">
        <v>1982639.87</v>
      </c>
      <c r="I136">
        <v>2789.4976280000001</v>
      </c>
      <c r="J136" t="s">
        <v>25</v>
      </c>
      <c r="K136" t="s">
        <v>30</v>
      </c>
      <c r="L136">
        <v>0.99214960748037406</v>
      </c>
      <c r="M136">
        <f t="shared" si="2"/>
        <v>651.76</v>
      </c>
    </row>
    <row r="137" spans="1:13" x14ac:dyDescent="0.3">
      <c r="A137" s="6">
        <v>13676</v>
      </c>
      <c r="B137" s="6" t="s">
        <v>22</v>
      </c>
      <c r="C137" s="6" t="s">
        <v>33</v>
      </c>
      <c r="D137" s="6">
        <v>886</v>
      </c>
      <c r="E137" s="6">
        <v>5</v>
      </c>
      <c r="F137" s="6">
        <v>2</v>
      </c>
      <c r="G137" s="6">
        <v>1975</v>
      </c>
      <c r="H137" s="6">
        <v>1998147.76</v>
      </c>
      <c r="I137" s="6">
        <v>6916.5743350000002</v>
      </c>
      <c r="J137" s="6" t="s">
        <v>42</v>
      </c>
      <c r="K137" s="6" t="s">
        <v>30</v>
      </c>
      <c r="L137" s="6">
        <v>0.99914995749787494</v>
      </c>
      <c r="M137" s="6">
        <f t="shared" si="2"/>
        <v>2255.25</v>
      </c>
    </row>
    <row r="138" spans="1:13" x14ac:dyDescent="0.3">
      <c r="A138">
        <v>13889</v>
      </c>
      <c r="B138" t="s">
        <v>16</v>
      </c>
      <c r="C138" t="s">
        <v>20</v>
      </c>
      <c r="D138">
        <v>3355</v>
      </c>
      <c r="E138">
        <v>1</v>
      </c>
      <c r="F138">
        <v>2</v>
      </c>
      <c r="G138">
        <v>1988</v>
      </c>
      <c r="H138">
        <v>1985994.3189999999</v>
      </c>
      <c r="I138">
        <v>509.16278349999999</v>
      </c>
      <c r="J138" t="s">
        <v>41</v>
      </c>
      <c r="K138" t="s">
        <v>30</v>
      </c>
      <c r="L138">
        <v>0.99369968498424921</v>
      </c>
      <c r="M138">
        <f t="shared" si="2"/>
        <v>591.95000000000005</v>
      </c>
    </row>
    <row r="139" spans="1:13" x14ac:dyDescent="0.3">
      <c r="A139">
        <v>14033</v>
      </c>
      <c r="B139" t="s">
        <v>12</v>
      </c>
      <c r="C139" t="s">
        <v>13</v>
      </c>
      <c r="D139">
        <v>3955</v>
      </c>
      <c r="E139">
        <v>1</v>
      </c>
      <c r="F139">
        <v>3</v>
      </c>
      <c r="G139">
        <v>2006</v>
      </c>
      <c r="H139">
        <v>1995685.42</v>
      </c>
      <c r="I139">
        <v>774.24001399999997</v>
      </c>
      <c r="J139" t="s">
        <v>32</v>
      </c>
      <c r="K139" t="s">
        <v>30</v>
      </c>
      <c r="L139">
        <v>0.99779988999449976</v>
      </c>
      <c r="M139">
        <f t="shared" si="2"/>
        <v>504.6</v>
      </c>
    </row>
    <row r="140" spans="1:13" x14ac:dyDescent="0.3">
      <c r="A140">
        <v>14055</v>
      </c>
      <c r="B140" t="s">
        <v>31</v>
      </c>
      <c r="C140" t="s">
        <v>20</v>
      </c>
      <c r="D140">
        <v>2759</v>
      </c>
      <c r="E140">
        <v>3</v>
      </c>
      <c r="F140">
        <v>1</v>
      </c>
      <c r="G140">
        <v>2017</v>
      </c>
      <c r="H140">
        <v>1997368.0919999999</v>
      </c>
      <c r="I140">
        <v>6845.584621</v>
      </c>
      <c r="J140" t="s">
        <v>21</v>
      </c>
      <c r="K140" t="s">
        <v>30</v>
      </c>
      <c r="L140">
        <v>0.99854992749637483</v>
      </c>
      <c r="M140">
        <f t="shared" si="2"/>
        <v>723.95</v>
      </c>
    </row>
    <row r="141" spans="1:13" x14ac:dyDescent="0.3">
      <c r="A141" s="6">
        <v>14070</v>
      </c>
      <c r="B141" s="6" t="s">
        <v>19</v>
      </c>
      <c r="C141" s="6" t="s">
        <v>33</v>
      </c>
      <c r="D141" s="6">
        <v>1262</v>
      </c>
      <c r="E141" s="6">
        <v>3</v>
      </c>
      <c r="F141" s="6">
        <v>3</v>
      </c>
      <c r="G141" s="6">
        <v>2009</v>
      </c>
      <c r="H141" s="6">
        <v>1984699.871</v>
      </c>
      <c r="I141" s="6">
        <v>4435.1234809999996</v>
      </c>
      <c r="J141" s="6" t="s">
        <v>39</v>
      </c>
      <c r="K141" s="6" t="s">
        <v>26</v>
      </c>
      <c r="L141" s="6">
        <v>0.99284964248212415</v>
      </c>
      <c r="M141" s="6">
        <f t="shared" si="2"/>
        <v>1572.66</v>
      </c>
    </row>
    <row r="142" spans="1:13" x14ac:dyDescent="0.3">
      <c r="A142">
        <v>14139</v>
      </c>
      <c r="B142" t="s">
        <v>22</v>
      </c>
      <c r="C142" t="s">
        <v>17</v>
      </c>
      <c r="D142">
        <v>2761</v>
      </c>
      <c r="E142">
        <v>3</v>
      </c>
      <c r="F142">
        <v>2</v>
      </c>
      <c r="G142">
        <v>1999</v>
      </c>
      <c r="H142">
        <v>1991125.112</v>
      </c>
      <c r="I142">
        <v>1453.8653750000001</v>
      </c>
      <c r="J142" t="s">
        <v>18</v>
      </c>
      <c r="K142" t="s">
        <v>15</v>
      </c>
      <c r="L142">
        <v>0.99584979248962446</v>
      </c>
      <c r="M142">
        <f t="shared" si="2"/>
        <v>721.16</v>
      </c>
    </row>
    <row r="143" spans="1:13" x14ac:dyDescent="0.3">
      <c r="A143">
        <v>14166</v>
      </c>
      <c r="B143" t="s">
        <v>12</v>
      </c>
      <c r="C143" t="s">
        <v>20</v>
      </c>
      <c r="D143">
        <v>3026</v>
      </c>
      <c r="E143">
        <v>2</v>
      </c>
      <c r="F143">
        <v>1</v>
      </c>
      <c r="G143">
        <v>1962</v>
      </c>
      <c r="H143">
        <v>1997881.6159999999</v>
      </c>
      <c r="I143">
        <v>3215.977973</v>
      </c>
      <c r="J143" t="s">
        <v>38</v>
      </c>
      <c r="K143" t="s">
        <v>30</v>
      </c>
      <c r="L143">
        <v>0.99884994249712489</v>
      </c>
      <c r="M143">
        <f t="shared" si="2"/>
        <v>660.24</v>
      </c>
    </row>
    <row r="144" spans="1:13" x14ac:dyDescent="0.3">
      <c r="A144">
        <v>14183</v>
      </c>
      <c r="B144" t="s">
        <v>16</v>
      </c>
      <c r="C144" t="s">
        <v>27</v>
      </c>
      <c r="D144">
        <v>3808</v>
      </c>
      <c r="E144">
        <v>4</v>
      </c>
      <c r="F144">
        <v>3</v>
      </c>
      <c r="G144">
        <v>1990</v>
      </c>
      <c r="H144">
        <v>1993047.8470000001</v>
      </c>
      <c r="I144">
        <v>4089.9997950000002</v>
      </c>
      <c r="J144" t="s">
        <v>28</v>
      </c>
      <c r="K144" t="s">
        <v>15</v>
      </c>
      <c r="L144">
        <v>0.99694984749237459</v>
      </c>
      <c r="M144">
        <f t="shared" si="2"/>
        <v>523.38</v>
      </c>
    </row>
    <row r="145" spans="1:13" x14ac:dyDescent="0.3">
      <c r="A145">
        <v>14238</v>
      </c>
      <c r="B145" t="s">
        <v>12</v>
      </c>
      <c r="C145" t="s">
        <v>27</v>
      </c>
      <c r="D145">
        <v>4223</v>
      </c>
      <c r="E145">
        <v>2</v>
      </c>
      <c r="F145">
        <v>1</v>
      </c>
      <c r="G145">
        <v>1977</v>
      </c>
      <c r="H145">
        <v>1988381.723</v>
      </c>
      <c r="I145">
        <v>3727.6681680000002</v>
      </c>
      <c r="J145" t="s">
        <v>29</v>
      </c>
      <c r="K145" t="s">
        <v>30</v>
      </c>
      <c r="L145">
        <v>0.99484974248712432</v>
      </c>
      <c r="M145">
        <f t="shared" si="2"/>
        <v>470.85</v>
      </c>
    </row>
    <row r="146" spans="1:13" x14ac:dyDescent="0.3">
      <c r="A146">
        <v>14349</v>
      </c>
      <c r="B146" t="s">
        <v>22</v>
      </c>
      <c r="C146" t="s">
        <v>23</v>
      </c>
      <c r="D146">
        <v>4431</v>
      </c>
      <c r="E146">
        <v>1</v>
      </c>
      <c r="F146">
        <v>1</v>
      </c>
      <c r="G146">
        <v>1987</v>
      </c>
      <c r="H146">
        <v>1990369.26</v>
      </c>
      <c r="I146">
        <v>3140.795329</v>
      </c>
      <c r="J146" t="s">
        <v>25</v>
      </c>
      <c r="K146" t="s">
        <v>30</v>
      </c>
      <c r="L146">
        <v>0.99549977498874942</v>
      </c>
      <c r="M146">
        <f t="shared" si="2"/>
        <v>449.19</v>
      </c>
    </row>
    <row r="147" spans="1:13" x14ac:dyDescent="0.3">
      <c r="A147">
        <v>14381</v>
      </c>
      <c r="B147" t="s">
        <v>22</v>
      </c>
      <c r="C147" t="s">
        <v>17</v>
      </c>
      <c r="D147">
        <v>4446</v>
      </c>
      <c r="E147">
        <v>3</v>
      </c>
      <c r="F147">
        <v>1</v>
      </c>
      <c r="G147">
        <v>1996</v>
      </c>
      <c r="H147">
        <v>1990552.996</v>
      </c>
      <c r="I147">
        <v>2527.3627259999998</v>
      </c>
      <c r="J147" t="s">
        <v>35</v>
      </c>
      <c r="K147" t="s">
        <v>30</v>
      </c>
      <c r="L147">
        <v>0.99554977748887441</v>
      </c>
      <c r="M147">
        <f t="shared" si="2"/>
        <v>447.72</v>
      </c>
    </row>
    <row r="148" spans="1:13" x14ac:dyDescent="0.3">
      <c r="A148">
        <v>14421</v>
      </c>
      <c r="B148" t="s">
        <v>16</v>
      </c>
      <c r="C148" t="s">
        <v>27</v>
      </c>
      <c r="D148">
        <v>3808</v>
      </c>
      <c r="E148">
        <v>5</v>
      </c>
      <c r="F148">
        <v>3</v>
      </c>
      <c r="G148">
        <v>2015</v>
      </c>
      <c r="H148">
        <v>1978192.7890000001</v>
      </c>
      <c r="I148">
        <v>2823.2348929999998</v>
      </c>
      <c r="J148" t="s">
        <v>25</v>
      </c>
      <c r="K148" t="s">
        <v>30</v>
      </c>
      <c r="L148">
        <v>0.9900495024751238</v>
      </c>
      <c r="M148">
        <f t="shared" si="2"/>
        <v>519.48</v>
      </c>
    </row>
    <row r="149" spans="1:13" x14ac:dyDescent="0.3">
      <c r="A149" s="6">
        <v>14534</v>
      </c>
      <c r="B149" s="6" t="s">
        <v>22</v>
      </c>
      <c r="C149" s="6" t="s">
        <v>20</v>
      </c>
      <c r="D149" s="6">
        <v>1045</v>
      </c>
      <c r="E149" s="6">
        <v>2</v>
      </c>
      <c r="F149" s="6">
        <v>2</v>
      </c>
      <c r="G149" s="6">
        <v>1958</v>
      </c>
      <c r="H149" s="6">
        <v>1980975.2720000001</v>
      </c>
      <c r="I149" s="6">
        <v>2258.0229020000002</v>
      </c>
      <c r="J149" s="6" t="s">
        <v>21</v>
      </c>
      <c r="K149" s="6" t="s">
        <v>15</v>
      </c>
      <c r="L149" s="6">
        <v>0.99144957247862397</v>
      </c>
      <c r="M149" s="6">
        <f t="shared" si="2"/>
        <v>1895.67</v>
      </c>
    </row>
    <row r="150" spans="1:13" x14ac:dyDescent="0.3">
      <c r="A150" s="6">
        <v>14838</v>
      </c>
      <c r="B150" s="6" t="s">
        <v>16</v>
      </c>
      <c r="C150" s="6" t="s">
        <v>13</v>
      </c>
      <c r="D150" s="6">
        <v>862</v>
      </c>
      <c r="E150" s="6">
        <v>4</v>
      </c>
      <c r="F150" s="6">
        <v>1</v>
      </c>
      <c r="G150" s="6">
        <v>2022</v>
      </c>
      <c r="H150" s="6">
        <v>1996699.6569999999</v>
      </c>
      <c r="I150" s="6">
        <v>5016.7196329999997</v>
      </c>
      <c r="J150" s="6" t="s">
        <v>25</v>
      </c>
      <c r="K150" s="6" t="s">
        <v>30</v>
      </c>
      <c r="L150" s="6">
        <v>0.9981499074953748</v>
      </c>
      <c r="M150" s="6">
        <f t="shared" si="2"/>
        <v>2316.36</v>
      </c>
    </row>
    <row r="151" spans="1:13" x14ac:dyDescent="0.3">
      <c r="A151">
        <v>14898</v>
      </c>
      <c r="B151" t="s">
        <v>12</v>
      </c>
      <c r="C151" t="s">
        <v>20</v>
      </c>
      <c r="D151">
        <v>3151</v>
      </c>
      <c r="E151">
        <v>4</v>
      </c>
      <c r="F151">
        <v>2</v>
      </c>
      <c r="G151">
        <v>1975</v>
      </c>
      <c r="H151">
        <v>1993698.2209999999</v>
      </c>
      <c r="I151">
        <v>3208.959738</v>
      </c>
      <c r="J151" t="s">
        <v>41</v>
      </c>
      <c r="K151" t="s">
        <v>15</v>
      </c>
      <c r="L151">
        <v>0.99714985749287466</v>
      </c>
      <c r="M151">
        <f t="shared" si="2"/>
        <v>632.72</v>
      </c>
    </row>
    <row r="152" spans="1:13" x14ac:dyDescent="0.3">
      <c r="A152" s="6">
        <v>15145</v>
      </c>
      <c r="B152" s="6" t="s">
        <v>31</v>
      </c>
      <c r="C152" s="6" t="s">
        <v>20</v>
      </c>
      <c r="D152" s="6">
        <v>1379</v>
      </c>
      <c r="E152" s="6">
        <v>4</v>
      </c>
      <c r="F152" s="6">
        <v>2</v>
      </c>
      <c r="G152" s="6">
        <v>2001</v>
      </c>
      <c r="H152" s="6">
        <v>1996426.044</v>
      </c>
      <c r="I152" s="6">
        <v>2602.2362389999998</v>
      </c>
      <c r="J152" s="6" t="s">
        <v>41</v>
      </c>
      <c r="K152" s="6" t="s">
        <v>30</v>
      </c>
      <c r="L152" s="6">
        <v>0.99809990499524981</v>
      </c>
      <c r="M152" s="6">
        <f t="shared" si="2"/>
        <v>1447.73</v>
      </c>
    </row>
    <row r="153" spans="1:13" x14ac:dyDescent="0.3">
      <c r="A153">
        <v>15240</v>
      </c>
      <c r="B153" t="s">
        <v>12</v>
      </c>
      <c r="C153" t="s">
        <v>13</v>
      </c>
      <c r="D153">
        <v>4164</v>
      </c>
      <c r="E153">
        <v>1</v>
      </c>
      <c r="F153">
        <v>2</v>
      </c>
      <c r="G153">
        <v>1978</v>
      </c>
      <c r="H153">
        <v>1989635.642</v>
      </c>
      <c r="I153">
        <v>2255.7238750000001</v>
      </c>
      <c r="J153" t="s">
        <v>14</v>
      </c>
      <c r="K153" t="s">
        <v>15</v>
      </c>
      <c r="L153">
        <v>0.99534976748837445</v>
      </c>
      <c r="M153">
        <f t="shared" si="2"/>
        <v>477.82</v>
      </c>
    </row>
    <row r="154" spans="1:13" x14ac:dyDescent="0.3">
      <c r="A154" s="6">
        <v>15474</v>
      </c>
      <c r="B154" s="6" t="s">
        <v>31</v>
      </c>
      <c r="C154" s="6" t="s">
        <v>17</v>
      </c>
      <c r="D154" s="6">
        <v>993</v>
      </c>
      <c r="E154" s="6">
        <v>2</v>
      </c>
      <c r="F154" s="6">
        <v>3</v>
      </c>
      <c r="G154" s="6">
        <v>1997</v>
      </c>
      <c r="H154" s="6">
        <v>1999154.5989999999</v>
      </c>
      <c r="I154" s="6">
        <v>2615.322862</v>
      </c>
      <c r="J154" s="6" t="s">
        <v>18</v>
      </c>
      <c r="K154" s="6" t="s">
        <v>15</v>
      </c>
      <c r="L154" s="6">
        <v>0.99964998249912496</v>
      </c>
      <c r="M154" s="6">
        <f t="shared" si="2"/>
        <v>2013.25</v>
      </c>
    </row>
    <row r="155" spans="1:13" x14ac:dyDescent="0.3">
      <c r="A155" s="6">
        <v>15714</v>
      </c>
      <c r="B155" s="6" t="s">
        <v>22</v>
      </c>
      <c r="C155" s="6" t="s">
        <v>20</v>
      </c>
      <c r="D155" s="6">
        <v>603</v>
      </c>
      <c r="E155" s="6">
        <v>5</v>
      </c>
      <c r="F155" s="6">
        <v>2</v>
      </c>
      <c r="G155" s="6">
        <v>1957</v>
      </c>
      <c r="H155" s="6">
        <v>1984705.246</v>
      </c>
      <c r="I155" s="6">
        <v>3299.931724</v>
      </c>
      <c r="J155" s="6" t="s">
        <v>38</v>
      </c>
      <c r="K155" s="6" t="s">
        <v>30</v>
      </c>
      <c r="L155" s="6">
        <v>0.99289964498224914</v>
      </c>
      <c r="M155" s="6">
        <f t="shared" si="2"/>
        <v>3291.39</v>
      </c>
    </row>
    <row r="156" spans="1:13" x14ac:dyDescent="0.3">
      <c r="A156">
        <v>15733</v>
      </c>
      <c r="B156" t="s">
        <v>31</v>
      </c>
      <c r="C156" t="s">
        <v>17</v>
      </c>
      <c r="D156">
        <v>4150</v>
      </c>
      <c r="E156">
        <v>3</v>
      </c>
      <c r="F156">
        <v>1</v>
      </c>
      <c r="G156">
        <v>1956</v>
      </c>
      <c r="H156">
        <v>1998870.7879999999</v>
      </c>
      <c r="I156">
        <v>1351.1853590000001</v>
      </c>
      <c r="J156" t="s">
        <v>35</v>
      </c>
      <c r="K156" t="s">
        <v>26</v>
      </c>
      <c r="L156">
        <v>0.99929996499824991</v>
      </c>
      <c r="M156">
        <f t="shared" si="2"/>
        <v>481.66</v>
      </c>
    </row>
    <row r="157" spans="1:13" x14ac:dyDescent="0.3">
      <c r="A157" s="7">
        <v>15738</v>
      </c>
      <c r="B157" s="7" t="s">
        <v>12</v>
      </c>
      <c r="C157" s="7" t="s">
        <v>20</v>
      </c>
      <c r="D157" s="7">
        <v>2393</v>
      </c>
      <c r="E157" s="7">
        <v>5</v>
      </c>
      <c r="F157" s="7">
        <v>2</v>
      </c>
      <c r="G157" s="7">
        <v>1981</v>
      </c>
      <c r="H157" s="7">
        <v>1995416.182</v>
      </c>
      <c r="I157" s="7">
        <v>1534.6308329999999</v>
      </c>
      <c r="J157" s="7" t="s">
        <v>38</v>
      </c>
      <c r="K157" s="7" t="s">
        <v>15</v>
      </c>
      <c r="L157" s="7">
        <v>0.99764988249412467</v>
      </c>
      <c r="M157" s="7">
        <f t="shared" si="2"/>
        <v>833.86</v>
      </c>
    </row>
    <row r="158" spans="1:13" x14ac:dyDescent="0.3">
      <c r="A158" s="6">
        <v>15803</v>
      </c>
      <c r="B158" s="6" t="s">
        <v>22</v>
      </c>
      <c r="C158" s="6" t="s">
        <v>27</v>
      </c>
      <c r="D158" s="6">
        <v>808</v>
      </c>
      <c r="E158" s="6">
        <v>2</v>
      </c>
      <c r="F158" s="6">
        <v>2</v>
      </c>
      <c r="G158" s="6">
        <v>2001</v>
      </c>
      <c r="H158" s="6">
        <v>1985841.9850000001</v>
      </c>
      <c r="I158" s="6">
        <v>6098.5810410000004</v>
      </c>
      <c r="J158" s="6" t="s">
        <v>29</v>
      </c>
      <c r="K158" s="6" t="s">
        <v>30</v>
      </c>
      <c r="L158" s="6">
        <v>0.99359967998399923</v>
      </c>
      <c r="M158" s="6">
        <f t="shared" si="2"/>
        <v>2457.73</v>
      </c>
    </row>
    <row r="159" spans="1:13" x14ac:dyDescent="0.3">
      <c r="A159">
        <v>15840</v>
      </c>
      <c r="B159" t="s">
        <v>31</v>
      </c>
      <c r="C159" t="s">
        <v>13</v>
      </c>
      <c r="D159">
        <v>4085</v>
      </c>
      <c r="E159">
        <v>2</v>
      </c>
      <c r="F159">
        <v>3</v>
      </c>
      <c r="G159">
        <v>2000</v>
      </c>
      <c r="H159">
        <v>1999573.3149999999</v>
      </c>
      <c r="I159">
        <v>7799.6823350000004</v>
      </c>
      <c r="J159" t="s">
        <v>32</v>
      </c>
      <c r="K159" t="s">
        <v>30</v>
      </c>
      <c r="L159">
        <v>0.99979998999949993</v>
      </c>
      <c r="M159">
        <f t="shared" si="2"/>
        <v>489.49</v>
      </c>
    </row>
    <row r="160" spans="1:13" x14ac:dyDescent="0.3">
      <c r="A160" s="6">
        <v>16003</v>
      </c>
      <c r="B160" s="6" t="s">
        <v>31</v>
      </c>
      <c r="C160" s="6" t="s">
        <v>27</v>
      </c>
      <c r="D160" s="6">
        <v>1979</v>
      </c>
      <c r="E160" s="6">
        <v>2</v>
      </c>
      <c r="F160" s="6">
        <v>2</v>
      </c>
      <c r="G160" s="6">
        <v>1976</v>
      </c>
      <c r="H160" s="6">
        <v>1987998.8529999999</v>
      </c>
      <c r="I160" s="6">
        <v>843.25063130000001</v>
      </c>
      <c r="J160" s="6" t="s">
        <v>29</v>
      </c>
      <c r="K160" s="6" t="s">
        <v>15</v>
      </c>
      <c r="L160" s="6">
        <v>0.99469973498674935</v>
      </c>
      <c r="M160" s="6">
        <f t="shared" si="2"/>
        <v>1004.55</v>
      </c>
    </row>
    <row r="161" spans="1:13" x14ac:dyDescent="0.3">
      <c r="A161" s="6">
        <v>16130</v>
      </c>
      <c r="B161" s="6" t="s">
        <v>16</v>
      </c>
      <c r="C161" s="6" t="s">
        <v>23</v>
      </c>
      <c r="D161" s="6">
        <v>1344</v>
      </c>
      <c r="E161" s="6">
        <v>5</v>
      </c>
      <c r="F161" s="6">
        <v>2</v>
      </c>
      <c r="G161" s="6">
        <v>1980</v>
      </c>
      <c r="H161" s="6">
        <v>1989135.077</v>
      </c>
      <c r="I161" s="6">
        <v>646.7531338</v>
      </c>
      <c r="J161" s="6" t="s">
        <v>24</v>
      </c>
      <c r="K161" s="6" t="s">
        <v>26</v>
      </c>
      <c r="L161" s="6">
        <v>0.99524976248812436</v>
      </c>
      <c r="M161" s="6">
        <f t="shared" si="2"/>
        <v>1480.01</v>
      </c>
    </row>
    <row r="162" spans="1:13" x14ac:dyDescent="0.3">
      <c r="A162">
        <v>16448</v>
      </c>
      <c r="B162" t="s">
        <v>22</v>
      </c>
      <c r="C162" t="s">
        <v>27</v>
      </c>
      <c r="D162">
        <v>3548</v>
      </c>
      <c r="E162">
        <v>2</v>
      </c>
      <c r="F162">
        <v>1</v>
      </c>
      <c r="G162">
        <v>1965</v>
      </c>
      <c r="H162">
        <v>1988657.2450000001</v>
      </c>
      <c r="I162">
        <v>614.13893410000003</v>
      </c>
      <c r="J162" t="s">
        <v>25</v>
      </c>
      <c r="K162" t="s">
        <v>30</v>
      </c>
      <c r="L162">
        <v>0.9949997499874994</v>
      </c>
      <c r="M162">
        <f t="shared" si="2"/>
        <v>560.5</v>
      </c>
    </row>
    <row r="163" spans="1:13" x14ac:dyDescent="0.3">
      <c r="A163" s="6">
        <v>16452</v>
      </c>
      <c r="B163" s="6" t="s">
        <v>12</v>
      </c>
      <c r="C163" s="6" t="s">
        <v>27</v>
      </c>
      <c r="D163" s="6">
        <v>1647</v>
      </c>
      <c r="E163" s="6">
        <v>3</v>
      </c>
      <c r="F163" s="6">
        <v>1</v>
      </c>
      <c r="G163" s="6">
        <v>1975</v>
      </c>
      <c r="H163" s="6">
        <v>1995985.96</v>
      </c>
      <c r="I163" s="6">
        <v>1039.126168</v>
      </c>
      <c r="J163" s="6" t="s">
        <v>25</v>
      </c>
      <c r="K163" s="6" t="s">
        <v>26</v>
      </c>
      <c r="L163" s="6">
        <v>0.99789989499474974</v>
      </c>
      <c r="M163" s="6">
        <f t="shared" si="2"/>
        <v>1211.8900000000001</v>
      </c>
    </row>
    <row r="164" spans="1:13" x14ac:dyDescent="0.3">
      <c r="A164" s="6">
        <v>16474</v>
      </c>
      <c r="B164" s="6" t="s">
        <v>31</v>
      </c>
      <c r="C164" s="6" t="s">
        <v>33</v>
      </c>
      <c r="D164" s="6">
        <v>569</v>
      </c>
      <c r="E164" s="6">
        <v>5</v>
      </c>
      <c r="F164" s="6">
        <v>3</v>
      </c>
      <c r="G164" s="6">
        <v>1965</v>
      </c>
      <c r="H164" s="6">
        <v>1999111.43</v>
      </c>
      <c r="I164" s="6">
        <v>7307.1974840000003</v>
      </c>
      <c r="J164" s="6" t="s">
        <v>34</v>
      </c>
      <c r="K164" s="6" t="s">
        <v>15</v>
      </c>
      <c r="L164" s="6">
        <v>0.99949997499874998</v>
      </c>
      <c r="M164" s="6">
        <f t="shared" si="2"/>
        <v>3513.38</v>
      </c>
    </row>
    <row r="165" spans="1:13" x14ac:dyDescent="0.3">
      <c r="A165">
        <v>16548</v>
      </c>
      <c r="B165" t="s">
        <v>12</v>
      </c>
      <c r="C165" t="s">
        <v>13</v>
      </c>
      <c r="D165">
        <v>2749</v>
      </c>
      <c r="E165">
        <v>4</v>
      </c>
      <c r="F165">
        <v>1</v>
      </c>
      <c r="G165">
        <v>1994</v>
      </c>
      <c r="H165">
        <v>1987100.6159999999</v>
      </c>
      <c r="I165">
        <v>2916.7594519999998</v>
      </c>
      <c r="J165" t="s">
        <v>25</v>
      </c>
      <c r="K165" t="s">
        <v>15</v>
      </c>
      <c r="L165">
        <v>0.99419970998549922</v>
      </c>
      <c r="M165">
        <f t="shared" si="2"/>
        <v>722.84</v>
      </c>
    </row>
    <row r="166" spans="1:13" x14ac:dyDescent="0.3">
      <c r="A166">
        <v>16679</v>
      </c>
      <c r="B166" t="s">
        <v>12</v>
      </c>
      <c r="C166" t="s">
        <v>13</v>
      </c>
      <c r="D166">
        <v>4867</v>
      </c>
      <c r="E166">
        <v>3</v>
      </c>
      <c r="F166">
        <v>3</v>
      </c>
      <c r="G166">
        <v>1993</v>
      </c>
      <c r="H166">
        <v>1991561.436</v>
      </c>
      <c r="I166">
        <v>2406.5480440000001</v>
      </c>
      <c r="J166" t="s">
        <v>32</v>
      </c>
      <c r="K166" t="s">
        <v>15</v>
      </c>
      <c r="L166">
        <v>0.99629981499074949</v>
      </c>
      <c r="M166">
        <f t="shared" si="2"/>
        <v>409.2</v>
      </c>
    </row>
    <row r="167" spans="1:13" x14ac:dyDescent="0.3">
      <c r="A167">
        <v>16758</v>
      </c>
      <c r="B167" t="s">
        <v>22</v>
      </c>
      <c r="C167" t="s">
        <v>20</v>
      </c>
      <c r="D167">
        <v>2971</v>
      </c>
      <c r="E167">
        <v>2</v>
      </c>
      <c r="F167">
        <v>2</v>
      </c>
      <c r="G167">
        <v>2000</v>
      </c>
      <c r="H167">
        <v>1987970.365</v>
      </c>
      <c r="I167">
        <v>2625.9612630000001</v>
      </c>
      <c r="J167" t="s">
        <v>38</v>
      </c>
      <c r="K167" t="s">
        <v>15</v>
      </c>
      <c r="L167">
        <v>0.99464973248662436</v>
      </c>
      <c r="M167">
        <f t="shared" si="2"/>
        <v>669.12</v>
      </c>
    </row>
    <row r="168" spans="1:13" x14ac:dyDescent="0.3">
      <c r="A168" s="6">
        <v>16809</v>
      </c>
      <c r="B168" s="6" t="s">
        <v>22</v>
      </c>
      <c r="C168" s="6" t="s">
        <v>13</v>
      </c>
      <c r="D168" s="6">
        <v>673</v>
      </c>
      <c r="E168" s="6">
        <v>1</v>
      </c>
      <c r="F168" s="6">
        <v>1</v>
      </c>
      <c r="G168" s="6">
        <v>1989</v>
      </c>
      <c r="H168" s="6">
        <v>1986842.139</v>
      </c>
      <c r="I168" s="6">
        <v>6464.6944199999998</v>
      </c>
      <c r="J168" s="6" t="s">
        <v>14</v>
      </c>
      <c r="K168" s="6" t="s">
        <v>30</v>
      </c>
      <c r="L168" s="6">
        <v>0.99409970498524924</v>
      </c>
      <c r="M168" s="6">
        <f t="shared" si="2"/>
        <v>2952.22</v>
      </c>
    </row>
    <row r="169" spans="1:13" x14ac:dyDescent="0.3">
      <c r="A169">
        <v>16896</v>
      </c>
      <c r="B169" t="s">
        <v>16</v>
      </c>
      <c r="C169" t="s">
        <v>27</v>
      </c>
      <c r="D169">
        <v>3827</v>
      </c>
      <c r="E169">
        <v>2</v>
      </c>
      <c r="F169">
        <v>3</v>
      </c>
      <c r="G169">
        <v>1965</v>
      </c>
      <c r="H169">
        <v>1997646.476</v>
      </c>
      <c r="I169">
        <v>3629.1218429999999</v>
      </c>
      <c r="J169" t="s">
        <v>25</v>
      </c>
      <c r="K169" t="s">
        <v>30</v>
      </c>
      <c r="L169">
        <v>0.9987499374968748</v>
      </c>
      <c r="M169">
        <f t="shared" si="2"/>
        <v>521.99</v>
      </c>
    </row>
    <row r="170" spans="1:13" x14ac:dyDescent="0.3">
      <c r="A170" s="7">
        <v>17196</v>
      </c>
      <c r="B170" s="7" t="s">
        <v>12</v>
      </c>
      <c r="C170" s="7" t="s">
        <v>20</v>
      </c>
      <c r="D170" s="7">
        <v>2154</v>
      </c>
      <c r="E170" s="7">
        <v>5</v>
      </c>
      <c r="F170" s="7">
        <v>1</v>
      </c>
      <c r="G170" s="7">
        <v>1978</v>
      </c>
      <c r="H170" s="7">
        <v>1979421.8019999999</v>
      </c>
      <c r="I170" s="7">
        <v>6334.1007319999999</v>
      </c>
      <c r="J170" s="7" t="s">
        <v>21</v>
      </c>
      <c r="K170" s="7" t="s">
        <v>15</v>
      </c>
      <c r="L170" s="7">
        <v>0.99079953997699888</v>
      </c>
      <c r="M170" s="7">
        <f t="shared" si="2"/>
        <v>918.95</v>
      </c>
    </row>
    <row r="171" spans="1:13" x14ac:dyDescent="0.3">
      <c r="A171" s="6">
        <v>16452</v>
      </c>
      <c r="B171" s="6" t="s">
        <v>12</v>
      </c>
      <c r="C171" s="6" t="s">
        <v>27</v>
      </c>
      <c r="D171" s="6">
        <v>1647</v>
      </c>
      <c r="E171" s="6">
        <v>3</v>
      </c>
      <c r="F171" s="6">
        <v>1</v>
      </c>
      <c r="G171" s="6">
        <v>1975</v>
      </c>
      <c r="H171" s="6">
        <v>1995985.96</v>
      </c>
      <c r="I171" s="6">
        <v>1039.126168</v>
      </c>
      <c r="J171" s="6" t="s">
        <v>25</v>
      </c>
      <c r="K171" s="6" t="s">
        <v>26</v>
      </c>
      <c r="L171" s="6">
        <v>0.99789989499474974</v>
      </c>
      <c r="M171" s="6">
        <f t="shared" ref="M171" si="3">ROUND((H171/D171), 2)</f>
        <v>1211.8900000000001</v>
      </c>
    </row>
    <row r="172" spans="1:13" x14ac:dyDescent="0.3">
      <c r="A172">
        <v>17549</v>
      </c>
      <c r="B172" t="s">
        <v>22</v>
      </c>
      <c r="C172" t="s">
        <v>13</v>
      </c>
      <c r="D172">
        <v>4309</v>
      </c>
      <c r="E172">
        <v>2</v>
      </c>
      <c r="F172">
        <v>3</v>
      </c>
      <c r="G172">
        <v>2021</v>
      </c>
      <c r="H172">
        <v>1985779.192</v>
      </c>
      <c r="I172">
        <v>3260.2075970000001</v>
      </c>
      <c r="J172" t="s">
        <v>32</v>
      </c>
      <c r="K172" t="s">
        <v>15</v>
      </c>
      <c r="L172">
        <v>0.99354967748387424</v>
      </c>
      <c r="M172">
        <f t="shared" si="2"/>
        <v>460.84</v>
      </c>
    </row>
    <row r="173" spans="1:13" x14ac:dyDescent="0.3">
      <c r="A173">
        <v>17637</v>
      </c>
      <c r="B173" t="s">
        <v>16</v>
      </c>
      <c r="C173" t="s">
        <v>33</v>
      </c>
      <c r="D173">
        <v>3748</v>
      </c>
      <c r="E173">
        <v>5</v>
      </c>
      <c r="F173">
        <v>2</v>
      </c>
      <c r="G173">
        <v>2019</v>
      </c>
      <c r="H173">
        <v>1985116.6070000001</v>
      </c>
      <c r="I173">
        <v>7012.1702079999995</v>
      </c>
      <c r="J173" t="s">
        <v>37</v>
      </c>
      <c r="K173" t="s">
        <v>15</v>
      </c>
      <c r="L173">
        <v>0.9930996549827491</v>
      </c>
      <c r="M173">
        <f t="shared" si="2"/>
        <v>529.65</v>
      </c>
    </row>
    <row r="174" spans="1:13" x14ac:dyDescent="0.3">
      <c r="A174">
        <v>17805</v>
      </c>
      <c r="B174" t="s">
        <v>22</v>
      </c>
      <c r="C174" t="s">
        <v>13</v>
      </c>
      <c r="D174">
        <v>2028</v>
      </c>
      <c r="E174">
        <v>1</v>
      </c>
      <c r="F174">
        <v>3</v>
      </c>
      <c r="G174">
        <v>1990</v>
      </c>
      <c r="H174">
        <v>1985299.952</v>
      </c>
      <c r="I174">
        <v>3730.8531309999998</v>
      </c>
      <c r="J174" t="s">
        <v>14</v>
      </c>
      <c r="K174" t="s">
        <v>15</v>
      </c>
      <c r="L174">
        <v>0.99324966248312418</v>
      </c>
      <c r="M174">
        <f t="shared" si="2"/>
        <v>978.94</v>
      </c>
    </row>
    <row r="175" spans="1:13" x14ac:dyDescent="0.3">
      <c r="A175">
        <v>17808</v>
      </c>
      <c r="B175" t="s">
        <v>31</v>
      </c>
      <c r="C175" t="s">
        <v>17</v>
      </c>
      <c r="D175">
        <v>2261</v>
      </c>
      <c r="E175">
        <v>3</v>
      </c>
      <c r="F175">
        <v>2</v>
      </c>
      <c r="G175">
        <v>2018</v>
      </c>
      <c r="H175">
        <v>1995241.8910000001</v>
      </c>
      <c r="I175">
        <v>4339.4916659999999</v>
      </c>
      <c r="J175" t="s">
        <v>35</v>
      </c>
      <c r="K175" t="s">
        <v>15</v>
      </c>
      <c r="L175">
        <v>0.9974998749937497</v>
      </c>
      <c r="M175">
        <f t="shared" si="2"/>
        <v>882.46</v>
      </c>
    </row>
    <row r="176" spans="1:13" x14ac:dyDescent="0.3">
      <c r="A176">
        <v>17872</v>
      </c>
      <c r="B176" t="s">
        <v>16</v>
      </c>
      <c r="C176" t="s">
        <v>13</v>
      </c>
      <c r="D176">
        <v>3939</v>
      </c>
      <c r="E176">
        <v>4</v>
      </c>
      <c r="F176">
        <v>2</v>
      </c>
      <c r="G176">
        <v>1989</v>
      </c>
      <c r="H176">
        <v>1995879.9180000001</v>
      </c>
      <c r="I176">
        <v>1698.123511</v>
      </c>
      <c r="J176" t="s">
        <v>32</v>
      </c>
      <c r="K176" t="s">
        <v>15</v>
      </c>
      <c r="L176">
        <v>0.99784989249462475</v>
      </c>
      <c r="M176">
        <f t="shared" si="2"/>
        <v>506.7</v>
      </c>
    </row>
    <row r="177" spans="1:13" x14ac:dyDescent="0.3">
      <c r="A177">
        <v>17916</v>
      </c>
      <c r="B177" t="s">
        <v>16</v>
      </c>
      <c r="C177" t="s">
        <v>33</v>
      </c>
      <c r="D177">
        <v>4107</v>
      </c>
      <c r="E177">
        <v>5</v>
      </c>
      <c r="F177">
        <v>1</v>
      </c>
      <c r="G177">
        <v>1987</v>
      </c>
      <c r="H177">
        <v>1988107.9620000001</v>
      </c>
      <c r="I177">
        <v>7477.886047</v>
      </c>
      <c r="J177" t="s">
        <v>39</v>
      </c>
      <c r="K177" t="s">
        <v>15</v>
      </c>
      <c r="L177">
        <v>0.99479973998699933</v>
      </c>
      <c r="M177">
        <f t="shared" si="2"/>
        <v>484.08</v>
      </c>
    </row>
    <row r="178" spans="1:13" x14ac:dyDescent="0.3">
      <c r="A178">
        <v>17926</v>
      </c>
      <c r="B178" t="s">
        <v>22</v>
      </c>
      <c r="C178" t="s">
        <v>33</v>
      </c>
      <c r="D178">
        <v>3091</v>
      </c>
      <c r="E178">
        <v>5</v>
      </c>
      <c r="F178">
        <v>1</v>
      </c>
      <c r="G178">
        <v>1985</v>
      </c>
      <c r="H178">
        <v>1983508.6629999999</v>
      </c>
      <c r="I178">
        <v>3469.351095</v>
      </c>
      <c r="J178" t="s">
        <v>42</v>
      </c>
      <c r="K178" t="s">
        <v>15</v>
      </c>
      <c r="L178">
        <v>0.99259962998149909</v>
      </c>
      <c r="M178">
        <f t="shared" si="2"/>
        <v>641.70000000000005</v>
      </c>
    </row>
    <row r="179" spans="1:13" x14ac:dyDescent="0.3">
      <c r="A179" s="6">
        <v>17927</v>
      </c>
      <c r="B179" s="6" t="s">
        <v>31</v>
      </c>
      <c r="C179" s="6" t="s">
        <v>23</v>
      </c>
      <c r="D179" s="6">
        <v>689</v>
      </c>
      <c r="E179" s="6">
        <v>1</v>
      </c>
      <c r="F179" s="6">
        <v>3</v>
      </c>
      <c r="G179" s="6">
        <v>1988</v>
      </c>
      <c r="H179" s="6">
        <v>1992480.1669999999</v>
      </c>
      <c r="I179" s="6">
        <v>7778.4200499999997</v>
      </c>
      <c r="J179" s="6" t="s">
        <v>24</v>
      </c>
      <c r="K179" s="6" t="s">
        <v>15</v>
      </c>
      <c r="L179" s="6">
        <v>0.99669983499174963</v>
      </c>
      <c r="M179" s="6">
        <f t="shared" si="2"/>
        <v>2891.84</v>
      </c>
    </row>
    <row r="180" spans="1:13" x14ac:dyDescent="0.3">
      <c r="A180" s="6">
        <v>18005</v>
      </c>
      <c r="B180" s="6" t="s">
        <v>12</v>
      </c>
      <c r="C180" s="6" t="s">
        <v>17</v>
      </c>
      <c r="D180" s="6">
        <v>1262</v>
      </c>
      <c r="E180" s="6">
        <v>3</v>
      </c>
      <c r="F180" s="6">
        <v>3</v>
      </c>
      <c r="G180" s="6">
        <v>1950</v>
      </c>
      <c r="H180" s="6">
        <v>1987181.997</v>
      </c>
      <c r="I180" s="6">
        <v>3656.371811</v>
      </c>
      <c r="J180" s="6" t="s">
        <v>40</v>
      </c>
      <c r="K180" s="6" t="s">
        <v>15</v>
      </c>
      <c r="L180" s="6">
        <v>0.99429971498574932</v>
      </c>
      <c r="M180" s="6">
        <f t="shared" si="2"/>
        <v>1574.63</v>
      </c>
    </row>
    <row r="181" spans="1:13" x14ac:dyDescent="0.3">
      <c r="A181">
        <v>18185</v>
      </c>
      <c r="B181" t="s">
        <v>31</v>
      </c>
      <c r="C181" t="s">
        <v>33</v>
      </c>
      <c r="D181">
        <v>4879</v>
      </c>
      <c r="E181">
        <v>3</v>
      </c>
      <c r="F181">
        <v>1</v>
      </c>
      <c r="G181">
        <v>2005</v>
      </c>
      <c r="H181">
        <v>1991633.2549999999</v>
      </c>
      <c r="I181">
        <v>1673.1904770000001</v>
      </c>
      <c r="J181" t="s">
        <v>37</v>
      </c>
      <c r="K181" t="s">
        <v>15</v>
      </c>
      <c r="L181">
        <v>0.99634981749087459</v>
      </c>
      <c r="M181">
        <f t="shared" si="2"/>
        <v>408.21</v>
      </c>
    </row>
    <row r="182" spans="1:13" x14ac:dyDescent="0.3">
      <c r="A182">
        <v>18263</v>
      </c>
      <c r="B182" t="s">
        <v>12</v>
      </c>
      <c r="C182" t="s">
        <v>17</v>
      </c>
      <c r="D182">
        <v>4403</v>
      </c>
      <c r="E182">
        <v>5</v>
      </c>
      <c r="F182">
        <v>1</v>
      </c>
      <c r="G182">
        <v>1981</v>
      </c>
      <c r="H182">
        <v>1991331.3959999999</v>
      </c>
      <c r="I182">
        <v>4027.87952</v>
      </c>
      <c r="J182" t="s">
        <v>40</v>
      </c>
      <c r="K182" t="s">
        <v>15</v>
      </c>
      <c r="L182">
        <v>0.99599979998999955</v>
      </c>
      <c r="M182">
        <f t="shared" si="2"/>
        <v>452.27</v>
      </c>
    </row>
    <row r="183" spans="1:13" x14ac:dyDescent="0.3">
      <c r="A183">
        <v>18471</v>
      </c>
      <c r="B183" t="s">
        <v>22</v>
      </c>
      <c r="C183" t="s">
        <v>33</v>
      </c>
      <c r="D183">
        <v>4138</v>
      </c>
      <c r="E183">
        <v>1</v>
      </c>
      <c r="F183">
        <v>2</v>
      </c>
      <c r="G183">
        <v>1984</v>
      </c>
      <c r="H183">
        <v>1992595.9820000001</v>
      </c>
      <c r="I183">
        <v>4624.2828170000003</v>
      </c>
      <c r="J183" t="s">
        <v>42</v>
      </c>
      <c r="K183" t="s">
        <v>30</v>
      </c>
      <c r="L183">
        <v>0.99674983749187462</v>
      </c>
      <c r="M183">
        <f t="shared" si="2"/>
        <v>481.54</v>
      </c>
    </row>
    <row r="184" spans="1:13" x14ac:dyDescent="0.3">
      <c r="A184">
        <v>18510</v>
      </c>
      <c r="B184" t="s">
        <v>31</v>
      </c>
      <c r="C184" t="s">
        <v>13</v>
      </c>
      <c r="D184">
        <v>2681</v>
      </c>
      <c r="E184">
        <v>5</v>
      </c>
      <c r="F184">
        <v>3</v>
      </c>
      <c r="G184">
        <v>1974</v>
      </c>
      <c r="H184">
        <v>1981196.088</v>
      </c>
      <c r="I184">
        <v>901.89466370000002</v>
      </c>
      <c r="J184" t="s">
        <v>25</v>
      </c>
      <c r="K184" t="s">
        <v>15</v>
      </c>
      <c r="L184">
        <v>0.99154957747887396</v>
      </c>
      <c r="M184">
        <f t="shared" si="2"/>
        <v>738.98</v>
      </c>
    </row>
    <row r="185" spans="1:13" x14ac:dyDescent="0.3">
      <c r="A185">
        <v>18515</v>
      </c>
      <c r="B185" t="s">
        <v>22</v>
      </c>
      <c r="C185" t="s">
        <v>13</v>
      </c>
      <c r="D185">
        <v>3881</v>
      </c>
      <c r="E185">
        <v>2</v>
      </c>
      <c r="F185">
        <v>2</v>
      </c>
      <c r="G185">
        <v>1977</v>
      </c>
      <c r="H185">
        <v>1991181.1580000001</v>
      </c>
      <c r="I185">
        <v>1129.7945910000001</v>
      </c>
      <c r="J185" t="s">
        <v>32</v>
      </c>
      <c r="K185" t="s">
        <v>30</v>
      </c>
      <c r="L185">
        <v>0.99589979498974945</v>
      </c>
      <c r="M185">
        <f t="shared" si="2"/>
        <v>513.05999999999995</v>
      </c>
    </row>
    <row r="186" spans="1:13" x14ac:dyDescent="0.3">
      <c r="A186">
        <v>18517</v>
      </c>
      <c r="B186" t="s">
        <v>12</v>
      </c>
      <c r="C186" t="s">
        <v>17</v>
      </c>
      <c r="D186">
        <v>4814</v>
      </c>
      <c r="E186">
        <v>3</v>
      </c>
      <c r="F186">
        <v>1</v>
      </c>
      <c r="G186">
        <v>1957</v>
      </c>
      <c r="H186">
        <v>1990148.04</v>
      </c>
      <c r="I186">
        <v>3106.8844130000002</v>
      </c>
      <c r="J186" t="s">
        <v>18</v>
      </c>
      <c r="K186" t="s">
        <v>15</v>
      </c>
      <c r="L186">
        <v>0.99544977248862443</v>
      </c>
      <c r="M186">
        <f t="shared" si="2"/>
        <v>413.41</v>
      </c>
    </row>
    <row r="187" spans="1:13" x14ac:dyDescent="0.3">
      <c r="A187" s="6">
        <v>18647</v>
      </c>
      <c r="B187" s="6" t="s">
        <v>31</v>
      </c>
      <c r="C187" s="6" t="s">
        <v>17</v>
      </c>
      <c r="D187" s="6">
        <v>1228</v>
      </c>
      <c r="E187" s="6">
        <v>3</v>
      </c>
      <c r="F187" s="6">
        <v>2</v>
      </c>
      <c r="G187" s="6">
        <v>2000</v>
      </c>
      <c r="H187" s="6">
        <v>1978688.977</v>
      </c>
      <c r="I187" s="6">
        <v>7729.9436679999999</v>
      </c>
      <c r="J187" s="6" t="s">
        <v>35</v>
      </c>
      <c r="K187" s="6" t="s">
        <v>30</v>
      </c>
      <c r="L187" s="6">
        <v>0.99039951997599884</v>
      </c>
      <c r="M187" s="6">
        <f t="shared" si="2"/>
        <v>1611.31</v>
      </c>
    </row>
    <row r="188" spans="1:13" x14ac:dyDescent="0.3">
      <c r="A188">
        <v>18689</v>
      </c>
      <c r="B188" t="s">
        <v>31</v>
      </c>
      <c r="C188" t="s">
        <v>13</v>
      </c>
      <c r="D188">
        <v>4641</v>
      </c>
      <c r="E188">
        <v>4</v>
      </c>
      <c r="F188">
        <v>3</v>
      </c>
      <c r="G188">
        <v>2006</v>
      </c>
      <c r="H188">
        <v>1992431.5109999999</v>
      </c>
      <c r="I188">
        <v>6979.6201929999997</v>
      </c>
      <c r="J188" t="s">
        <v>25</v>
      </c>
      <c r="K188" t="s">
        <v>26</v>
      </c>
      <c r="L188">
        <v>0.99659982999149954</v>
      </c>
      <c r="M188">
        <f t="shared" si="2"/>
        <v>429.31</v>
      </c>
    </row>
    <row r="189" spans="1:13" x14ac:dyDescent="0.3">
      <c r="A189">
        <v>18831</v>
      </c>
      <c r="B189" t="s">
        <v>12</v>
      </c>
      <c r="C189" t="s">
        <v>33</v>
      </c>
      <c r="D189">
        <v>4522</v>
      </c>
      <c r="E189">
        <v>1</v>
      </c>
      <c r="F189">
        <v>3</v>
      </c>
      <c r="G189">
        <v>2007</v>
      </c>
      <c r="H189">
        <v>1990771.2420000001</v>
      </c>
      <c r="I189">
        <v>608.85098740000001</v>
      </c>
      <c r="J189" t="s">
        <v>34</v>
      </c>
      <c r="K189" t="s">
        <v>26</v>
      </c>
      <c r="L189">
        <v>0.9956497824891245</v>
      </c>
      <c r="M189">
        <f t="shared" si="2"/>
        <v>440.24</v>
      </c>
    </row>
    <row r="190" spans="1:13" x14ac:dyDescent="0.3">
      <c r="A190" s="6">
        <v>19074</v>
      </c>
      <c r="B190" s="6" t="s">
        <v>31</v>
      </c>
      <c r="C190" s="6" t="s">
        <v>17</v>
      </c>
      <c r="D190" s="6">
        <v>1414</v>
      </c>
      <c r="E190" s="6">
        <v>4</v>
      </c>
      <c r="F190" s="6">
        <v>1</v>
      </c>
      <c r="G190" s="6">
        <v>2003</v>
      </c>
      <c r="H190" s="6">
        <v>1986080.344</v>
      </c>
      <c r="I190" s="6">
        <v>7998.3035309999996</v>
      </c>
      <c r="J190" s="6" t="s">
        <v>35</v>
      </c>
      <c r="K190" s="6" t="s">
        <v>30</v>
      </c>
      <c r="L190" s="6">
        <v>0.99379968998449919</v>
      </c>
      <c r="M190" s="6">
        <f t="shared" si="2"/>
        <v>1404.58</v>
      </c>
    </row>
    <row r="191" spans="1:13" x14ac:dyDescent="0.3">
      <c r="A191">
        <v>19136</v>
      </c>
      <c r="B191" t="s">
        <v>16</v>
      </c>
      <c r="C191" t="s">
        <v>33</v>
      </c>
      <c r="D191">
        <v>4349</v>
      </c>
      <c r="E191">
        <v>5</v>
      </c>
      <c r="F191">
        <v>2</v>
      </c>
      <c r="G191">
        <v>1970</v>
      </c>
      <c r="H191">
        <v>1982039.821</v>
      </c>
      <c r="I191">
        <v>1645.209558</v>
      </c>
      <c r="J191" t="s">
        <v>34</v>
      </c>
      <c r="K191" t="s">
        <v>30</v>
      </c>
      <c r="L191">
        <v>0.99184959247962401</v>
      </c>
      <c r="M191">
        <f t="shared" si="2"/>
        <v>455.75</v>
      </c>
    </row>
    <row r="192" spans="1:13" x14ac:dyDescent="0.3">
      <c r="A192">
        <v>19171</v>
      </c>
      <c r="B192" t="s">
        <v>31</v>
      </c>
      <c r="C192" t="s">
        <v>13</v>
      </c>
      <c r="D192">
        <v>4698</v>
      </c>
      <c r="E192">
        <v>4</v>
      </c>
      <c r="F192">
        <v>1</v>
      </c>
      <c r="G192">
        <v>2011</v>
      </c>
      <c r="H192">
        <v>1998048.3089999999</v>
      </c>
      <c r="I192">
        <v>3764.0287779999999</v>
      </c>
      <c r="J192" t="s">
        <v>32</v>
      </c>
      <c r="K192" t="s">
        <v>30</v>
      </c>
      <c r="L192">
        <v>0.99899994999749986</v>
      </c>
      <c r="M192">
        <f t="shared" si="2"/>
        <v>425.3</v>
      </c>
    </row>
    <row r="193" spans="1:13" x14ac:dyDescent="0.3">
      <c r="A193">
        <v>19286</v>
      </c>
      <c r="B193" t="s">
        <v>31</v>
      </c>
      <c r="C193" t="s">
        <v>13</v>
      </c>
      <c r="D193">
        <v>4664</v>
      </c>
      <c r="E193">
        <v>2</v>
      </c>
      <c r="F193">
        <v>3</v>
      </c>
      <c r="G193">
        <v>2003</v>
      </c>
      <c r="H193">
        <v>1982911.176</v>
      </c>
      <c r="I193">
        <v>6450.5459049999999</v>
      </c>
      <c r="J193" t="s">
        <v>32</v>
      </c>
      <c r="K193" t="s">
        <v>15</v>
      </c>
      <c r="L193">
        <v>0.99224961248062404</v>
      </c>
      <c r="M193">
        <f t="shared" si="2"/>
        <v>425.15</v>
      </c>
    </row>
    <row r="194" spans="1:13" x14ac:dyDescent="0.3">
      <c r="A194">
        <v>19356</v>
      </c>
      <c r="B194" t="s">
        <v>22</v>
      </c>
      <c r="C194" t="s">
        <v>13</v>
      </c>
      <c r="D194">
        <v>1625</v>
      </c>
      <c r="E194">
        <v>1</v>
      </c>
      <c r="F194">
        <v>1</v>
      </c>
      <c r="G194">
        <v>1972</v>
      </c>
      <c r="H194">
        <v>1995497.503</v>
      </c>
      <c r="I194">
        <v>4202.4467619999996</v>
      </c>
      <c r="J194" t="s">
        <v>14</v>
      </c>
      <c r="K194" t="s">
        <v>30</v>
      </c>
      <c r="L194">
        <v>0.99769988499424966</v>
      </c>
      <c r="M194">
        <f t="shared" si="2"/>
        <v>1228</v>
      </c>
    </row>
    <row r="195" spans="1:13" x14ac:dyDescent="0.3">
      <c r="A195">
        <v>19423</v>
      </c>
      <c r="B195" t="s">
        <v>19</v>
      </c>
      <c r="C195" t="s">
        <v>17</v>
      </c>
      <c r="D195">
        <v>2166</v>
      </c>
      <c r="E195">
        <v>3</v>
      </c>
      <c r="F195">
        <v>2</v>
      </c>
      <c r="G195">
        <v>2007</v>
      </c>
      <c r="H195">
        <v>1995364.172</v>
      </c>
      <c r="I195">
        <v>1949.431061</v>
      </c>
      <c r="J195" t="s">
        <v>35</v>
      </c>
      <c r="K195" t="s">
        <v>30</v>
      </c>
      <c r="L195">
        <v>0.99759987999399968</v>
      </c>
      <c r="M195">
        <f t="shared" ref="M195:M201" si="4">ROUND((H195/D195), 2)</f>
        <v>921.22</v>
      </c>
    </row>
    <row r="196" spans="1:13" x14ac:dyDescent="0.3">
      <c r="A196">
        <v>19439</v>
      </c>
      <c r="B196" t="s">
        <v>22</v>
      </c>
      <c r="C196" t="s">
        <v>23</v>
      </c>
      <c r="D196">
        <v>3177</v>
      </c>
      <c r="E196">
        <v>3</v>
      </c>
      <c r="F196">
        <v>3</v>
      </c>
      <c r="G196">
        <v>1982</v>
      </c>
      <c r="H196">
        <v>1988390.3589999999</v>
      </c>
      <c r="I196">
        <v>5027.164092</v>
      </c>
      <c r="J196" t="s">
        <v>24</v>
      </c>
      <c r="K196" t="s">
        <v>30</v>
      </c>
      <c r="L196">
        <v>0.99489974498724931</v>
      </c>
      <c r="M196">
        <f t="shared" si="4"/>
        <v>625.87</v>
      </c>
    </row>
    <row r="197" spans="1:13" x14ac:dyDescent="0.3">
      <c r="A197" s="6">
        <v>19550</v>
      </c>
      <c r="B197" s="6" t="s">
        <v>22</v>
      </c>
      <c r="C197" s="6" t="s">
        <v>13</v>
      </c>
      <c r="D197" s="6">
        <v>1966</v>
      </c>
      <c r="E197" s="6">
        <v>5</v>
      </c>
      <c r="F197" s="6">
        <v>2</v>
      </c>
      <c r="G197" s="6">
        <v>1994</v>
      </c>
      <c r="H197" s="6">
        <v>1990571.077</v>
      </c>
      <c r="I197" s="6">
        <v>5249.0458170000002</v>
      </c>
      <c r="J197" s="6" t="s">
        <v>14</v>
      </c>
      <c r="K197" s="6" t="s">
        <v>30</v>
      </c>
      <c r="L197" s="6">
        <v>0.9955997799889994</v>
      </c>
      <c r="M197" s="6">
        <f t="shared" si="4"/>
        <v>1012.5</v>
      </c>
    </row>
    <row r="198" spans="1:13" x14ac:dyDescent="0.3">
      <c r="A198">
        <v>19674</v>
      </c>
      <c r="B198" t="s">
        <v>16</v>
      </c>
      <c r="C198" t="s">
        <v>20</v>
      </c>
      <c r="D198">
        <v>2933</v>
      </c>
      <c r="E198">
        <v>3</v>
      </c>
      <c r="F198">
        <v>1</v>
      </c>
      <c r="G198">
        <v>1989</v>
      </c>
      <c r="H198">
        <v>1986949.8259999999</v>
      </c>
      <c r="I198">
        <v>6833.1487699999998</v>
      </c>
      <c r="J198" t="s">
        <v>41</v>
      </c>
      <c r="K198" t="s">
        <v>30</v>
      </c>
      <c r="L198">
        <v>0.99414970748537423</v>
      </c>
      <c r="M198">
        <f t="shared" si="4"/>
        <v>677.45</v>
      </c>
    </row>
    <row r="199" spans="1:13" x14ac:dyDescent="0.3">
      <c r="A199" s="6">
        <v>19677</v>
      </c>
      <c r="B199" s="6" t="s">
        <v>31</v>
      </c>
      <c r="C199" s="6" t="s">
        <v>33</v>
      </c>
      <c r="D199" s="6">
        <v>1232</v>
      </c>
      <c r="E199" s="6">
        <v>2</v>
      </c>
      <c r="F199" s="6">
        <v>1</v>
      </c>
      <c r="G199" s="6">
        <v>1984</v>
      </c>
      <c r="H199" s="6">
        <v>1985962.108</v>
      </c>
      <c r="I199" s="6">
        <v>4267.6029280000002</v>
      </c>
      <c r="J199" s="6" t="s">
        <v>39</v>
      </c>
      <c r="K199" s="6" t="s">
        <v>30</v>
      </c>
      <c r="L199" s="6">
        <v>0.99364968248412422</v>
      </c>
      <c r="M199" s="6">
        <f t="shared" si="4"/>
        <v>1611.98</v>
      </c>
    </row>
    <row r="200" spans="1:13" x14ac:dyDescent="0.3">
      <c r="A200">
        <v>19696</v>
      </c>
      <c r="B200" t="s">
        <v>22</v>
      </c>
      <c r="C200" t="s">
        <v>23</v>
      </c>
      <c r="D200">
        <v>4482</v>
      </c>
      <c r="E200">
        <v>2</v>
      </c>
      <c r="F200">
        <v>1</v>
      </c>
      <c r="G200">
        <v>1973</v>
      </c>
      <c r="H200">
        <v>1997788.615</v>
      </c>
      <c r="I200">
        <v>6444.2573860000002</v>
      </c>
      <c r="J200" t="s">
        <v>25</v>
      </c>
      <c r="K200" t="s">
        <v>15</v>
      </c>
      <c r="L200">
        <v>0.9987999399969999</v>
      </c>
      <c r="M200">
        <f t="shared" si="4"/>
        <v>445.74</v>
      </c>
    </row>
    <row r="201" spans="1:13" x14ac:dyDescent="0.3">
      <c r="A201">
        <v>19842</v>
      </c>
      <c r="B201" t="s">
        <v>12</v>
      </c>
      <c r="C201" t="s">
        <v>27</v>
      </c>
      <c r="D201">
        <v>2055</v>
      </c>
      <c r="E201">
        <v>1</v>
      </c>
      <c r="F201">
        <v>3</v>
      </c>
      <c r="G201">
        <v>1955</v>
      </c>
      <c r="H201">
        <v>1995340.1040000001</v>
      </c>
      <c r="I201">
        <v>1267.486983</v>
      </c>
      <c r="J201" t="s">
        <v>25</v>
      </c>
      <c r="K201" t="s">
        <v>15</v>
      </c>
      <c r="L201">
        <v>0.99754987749387469</v>
      </c>
      <c r="M201">
        <f t="shared" si="4"/>
        <v>970.97</v>
      </c>
    </row>
  </sheetData>
  <autoFilter ref="A1:M201" xr:uid="{00000000-0001-0000-01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Kaushal</dc:creator>
  <cp:lastModifiedBy>Sumit Kaushal</cp:lastModifiedBy>
  <dcterms:created xsi:type="dcterms:W3CDTF">2026-09-07T21:15:55Z</dcterms:created>
  <dcterms:modified xsi:type="dcterms:W3CDTF">2026-09-09T17:59:43Z</dcterms:modified>
</cp:coreProperties>
</file>